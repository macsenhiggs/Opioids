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senhiggins/R_Studio/Opioids/"/>
    </mc:Choice>
  </mc:AlternateContent>
  <xr:revisionPtr revIDLastSave="0" documentId="13_ncr:1_{E74D5D27-1F18-8447-ADB9-DA3BC924D3CF}" xr6:coauthVersionLast="47" xr6:coauthVersionMax="47" xr10:uidLastSave="{00000000-0000-0000-0000-000000000000}"/>
  <bookViews>
    <workbookView xWindow="680" yWindow="680" windowWidth="28040" windowHeight="16640" activeTab="3" xr2:uid="{36569209-AD7C-4E4F-A355-609CFF171EAD}"/>
  </bookViews>
  <sheets>
    <sheet name="Columns" sheetId="1" r:id="rId1"/>
    <sheet name="Success" sheetId="2" r:id="rId2"/>
    <sheet name="FreqRoute" sheetId="3" r:id="rId3"/>
    <sheet name="all_probs_mean_diff" sheetId="5" r:id="rId4"/>
    <sheet name="GLM Indicators" sheetId="4" r:id="rId5"/>
  </sheets>
  <definedNames>
    <definedName name="ExternalData_1" localSheetId="3" hidden="1">all_probs_mean_diff!$A$1:$E$112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F437D86-6EB7-D147-9836-43C60749F215}" keepAlive="1" name="Query - all_probs_mean_diff" description="Connection to the 'all_probs_mean_diff' query in the workbook." type="5" refreshedVersion="8" background="1" saveData="1">
    <dbPr connection="Provider=Microsoft.Mashup.OleDb.1;Data Source=$Workbook$;Location=all_probs_mean_diff;Extended Properties=&quot;&quot;" command="SELECT * FROM [all_probs_mean_diff]"/>
  </connection>
</connections>
</file>

<file path=xl/sharedStrings.xml><?xml version="1.0" encoding="utf-8"?>
<sst xmlns="http://schemas.openxmlformats.org/spreadsheetml/2006/main" count="377" uniqueCount="234">
  <si>
    <t>Filtering Columns</t>
  </si>
  <si>
    <t>Meaning</t>
  </si>
  <si>
    <t>Column Name</t>
  </si>
  <si>
    <t>SUB1</t>
  </si>
  <si>
    <t>SUB2</t>
  </si>
  <si>
    <t>SUB3</t>
  </si>
  <si>
    <t>HERLFG</t>
  </si>
  <si>
    <t>METHFLG</t>
  </si>
  <si>
    <t>OPSYNFLG</t>
  </si>
  <si>
    <t>Demographic Columns</t>
  </si>
  <si>
    <t>Primary Substance Used</t>
  </si>
  <si>
    <t>Secondary Substance Used</t>
  </si>
  <si>
    <t>Tertiary Substance Used</t>
  </si>
  <si>
    <t>AGE</t>
  </si>
  <si>
    <t>SEX</t>
  </si>
  <si>
    <t>RACE</t>
  </si>
  <si>
    <t>ETHNIC</t>
  </si>
  <si>
    <t>EDUC</t>
  </si>
  <si>
    <t>EMPLOY</t>
  </si>
  <si>
    <t>LIVARAG</t>
  </si>
  <si>
    <t>PRIMINC</t>
  </si>
  <si>
    <t>DIVISION</t>
  </si>
  <si>
    <t>Usage Columns</t>
  </si>
  <si>
    <t>NOPRIOR</t>
  </si>
  <si>
    <t>ROUTE1</t>
  </si>
  <si>
    <t>FREQ1</t>
  </si>
  <si>
    <t>FRSTUSE1</t>
  </si>
  <si>
    <t>ALCDRUG</t>
  </si>
  <si>
    <t>DSMCRIT</t>
  </si>
  <si>
    <t>PSYPROB</t>
  </si>
  <si>
    <t>FREQ_ATND_SELF_HELP</t>
  </si>
  <si>
    <t>Treatment Columns</t>
  </si>
  <si>
    <t>SERVICES</t>
  </si>
  <si>
    <t>METHUSE</t>
  </si>
  <si>
    <t>LOS</t>
  </si>
  <si>
    <t>FREQ_ATND_SELF_HELP_D</t>
  </si>
  <si>
    <t>Primary Source of Income</t>
  </si>
  <si>
    <t>Previous Substance Abuse Treatment</t>
  </si>
  <si>
    <t>Primary Substance Route of Administration</t>
  </si>
  <si>
    <t>Primary Substance Frequency of Use</t>
  </si>
  <si>
    <t>Age Group at First Use of Primary Substance</t>
  </si>
  <si>
    <t>Substance Use Type (Alcohol and/or Drugs)</t>
  </si>
  <si>
    <t>DSM dependence diagnosis upon arrival</t>
  </si>
  <si>
    <t>Co-occurring Mental and Substance Use Disorders</t>
  </si>
  <si>
    <t>Type of Treatment Service/Setting at Admission</t>
  </si>
  <si>
    <t>Medication-Assisted Opioid Therapy</t>
  </si>
  <si>
    <t>Length of Stay, Grouped After 30 Days</t>
  </si>
  <si>
    <t>Recent Attendance of Self-Help Groups</t>
  </si>
  <si>
    <t>Recent Attendance of Self-Help Groups at Discharge</t>
  </si>
  <si>
    <t>Age Group</t>
  </si>
  <si>
    <t>Sex</t>
  </si>
  <si>
    <t>Race</t>
  </si>
  <si>
    <t>Ethnicity</t>
  </si>
  <si>
    <t xml:space="preserve">Education Level </t>
  </si>
  <si>
    <t>Employment Status</t>
  </si>
  <si>
    <t>Living Arrangements</t>
  </si>
  <si>
    <t>Census Division Based on State</t>
  </si>
  <si>
    <t>How do we Determine Treatment Success?</t>
  </si>
  <si>
    <t>Outcome</t>
  </si>
  <si>
    <t>Success Value</t>
  </si>
  <si>
    <t>Proportion</t>
  </si>
  <si>
    <t>Treatment Completed</t>
  </si>
  <si>
    <t>Dropped Out Of Treatment</t>
  </si>
  <si>
    <t>Terminated by Facility</t>
  </si>
  <si>
    <t>Transferred to Other Program/Facility</t>
  </si>
  <si>
    <t>NA</t>
  </si>
  <si>
    <t>Incarcerated</t>
  </si>
  <si>
    <t>Death</t>
  </si>
  <si>
    <t>Other</t>
  </si>
  <si>
    <t>Heroin Reported at Admission</t>
  </si>
  <si>
    <t>Methadones Reported at Admission</t>
  </si>
  <si>
    <t>Opioids/Synthetics Reported at Admission</t>
  </si>
  <si>
    <t>No use in the past month</t>
  </si>
  <si>
    <t>Some use</t>
  </si>
  <si>
    <t>Daily use</t>
  </si>
  <si>
    <t>Heroin</t>
  </si>
  <si>
    <t>Oral</t>
  </si>
  <si>
    <t>-0.083 (n=190)</t>
  </si>
  <si>
    <t>-0.119 (n=115)</t>
  </si>
  <si>
    <t>-0.091 (n=347)</t>
  </si>
  <si>
    <t>Smoking</t>
  </si>
  <si>
    <t>-0.015 (n=1241)</t>
  </si>
  <si>
    <t>-0.069 (n=1019)</t>
  </si>
  <si>
    <t>-0.109 (n=3119)</t>
  </si>
  <si>
    <t>Inhalation</t>
  </si>
  <si>
    <t>-0.06 (n=4367)</t>
  </si>
  <si>
    <t>-0.069 (n=2902)</t>
  </si>
  <si>
    <t>-0.1 (n=14780)</t>
  </si>
  <si>
    <t>Injection</t>
  </si>
  <si>
    <t>-0.036 (n=7623)</t>
  </si>
  <si>
    <t>-0.056 (n=3365)</t>
  </si>
  <si>
    <t>-0.085 (n=16685)</t>
  </si>
  <si>
    <t>-0.17 (n=117)</t>
  </si>
  <si>
    <t>-0.164 (n=60)</t>
  </si>
  <si>
    <t>-0.094 (n=285)</t>
  </si>
  <si>
    <t>-0.107 (n=47)</t>
  </si>
  <si>
    <t>-0.122 (n=53)</t>
  </si>
  <si>
    <t>-0.082 (n=178)</t>
  </si>
  <si>
    <t>-0.275 (n=2)</t>
  </si>
  <si>
    <t>-0.376 (n=2)</t>
  </si>
  <si>
    <t>-0.032 (n=8)</t>
  </si>
  <si>
    <t>-0.086 (n=5)</t>
  </si>
  <si>
    <t>0.662 (n=1)</t>
  </si>
  <si>
    <t>-0.196 (n=6)</t>
  </si>
  <si>
    <t>-0.059 (n=7)</t>
  </si>
  <si>
    <t>-0.103 (n=5)</t>
  </si>
  <si>
    <t>-0.205 (n=8)</t>
  </si>
  <si>
    <t>0.559 (n=1)</t>
  </si>
  <si>
    <t>0.468 (n=1)</t>
  </si>
  <si>
    <t>0.663 (n=1)</t>
  </si>
  <si>
    <t>Non-perscription methadones</t>
  </si>
  <si>
    <t>-0.105 (n=2971)</t>
  </si>
  <si>
    <t>-0.116 (n=1663)</t>
  </si>
  <si>
    <t>-0.065 (n=4698)</t>
  </si>
  <si>
    <t>-0.096 (n=1169)</t>
  </si>
  <si>
    <t>-0.172 (n=2154)</t>
  </si>
  <si>
    <t>-0.158 (n=5360)</t>
  </si>
  <si>
    <t>-0.112 (n=1244)</t>
  </si>
  <si>
    <t>-0.113 (n=1188)</t>
  </si>
  <si>
    <t>-0.083 (n=3812)</t>
  </si>
  <si>
    <t>-0.106 (n=1038)</t>
  </si>
  <si>
    <t>-0.066 (n=688)</t>
  </si>
  <si>
    <t>-0.083 (n=2929)</t>
  </si>
  <si>
    <t>-0.213 (n=79)</t>
  </si>
  <si>
    <t>-0.24 (n=31)</t>
  </si>
  <si>
    <t>-0.167 (n=161)</t>
  </si>
  <si>
    <t>Other opiates and synthetics</t>
  </si>
  <si>
    <t xml:space="preserve">
ROUTE1</t>
  </si>
  <si>
    <t>predictor_name</t>
  </si>
  <si>
    <t>x</t>
  </si>
  <si>
    <t>predicted</t>
  </si>
  <si>
    <t>mean_predicted</t>
  </si>
  <si>
    <t>group_mean_diff</t>
  </si>
  <si>
    <t>Non-prescription methadone</t>
  </si>
  <si>
    <t>SUBS_USED</t>
  </si>
  <si>
    <t>1</t>
  </si>
  <si>
    <t>2</t>
  </si>
  <si>
    <t>3</t>
  </si>
  <si>
    <t>12–14 years old</t>
  </si>
  <si>
    <t>15–17 years old</t>
  </si>
  <si>
    <t>18–20 years old</t>
  </si>
  <si>
    <t>21–24 years old</t>
  </si>
  <si>
    <t>25–29 years old</t>
  </si>
  <si>
    <t>30–34 years old</t>
  </si>
  <si>
    <t>35–39 years old</t>
  </si>
  <si>
    <t>40–44 years old</t>
  </si>
  <si>
    <t>45–49 years old</t>
  </si>
  <si>
    <t>50–54 years old</t>
  </si>
  <si>
    <t>55–64 years old</t>
  </si>
  <si>
    <t>65 years and older</t>
  </si>
  <si>
    <t>Male</t>
  </si>
  <si>
    <t>Female</t>
  </si>
  <si>
    <t>Alaska Native (Aleut, Eskimo)</t>
  </si>
  <si>
    <t>American Indian (other than Alaska Native)</t>
  </si>
  <si>
    <t>Asian or Pacific Islander</t>
  </si>
  <si>
    <t>Black or African American</t>
  </si>
  <si>
    <t>White</t>
  </si>
  <si>
    <t>Asian</t>
  </si>
  <si>
    <t>Other single race</t>
  </si>
  <si>
    <t>Two or more races</t>
  </si>
  <si>
    <t>Native Hawaiian or Other Pacific Islander</t>
  </si>
  <si>
    <t>Hispanic/Latino</t>
  </si>
  <si>
    <t>Not Hispanic/Latino</t>
  </si>
  <si>
    <t>8th grade or less</t>
  </si>
  <si>
    <t>Grades 9 to 11</t>
  </si>
  <si>
    <t>Grade 12 (or GED)</t>
  </si>
  <si>
    <t>1–3 years of college/vocational</t>
  </si>
  <si>
    <t>4 years of college (BA/BS) or more</t>
  </si>
  <si>
    <t>Full-time</t>
  </si>
  <si>
    <t>Part-time</t>
  </si>
  <si>
    <t>Unemployed</t>
  </si>
  <si>
    <t>Not in labor force</t>
  </si>
  <si>
    <t>Experiencing homelessness</t>
  </si>
  <si>
    <t>Dependent living</t>
  </si>
  <si>
    <t>Independent living</t>
  </si>
  <si>
    <t>Wages/salary</t>
  </si>
  <si>
    <t>Public assistance</t>
  </si>
  <si>
    <t>Retirement/pension, disability</t>
  </si>
  <si>
    <t>None</t>
  </si>
  <si>
    <t>U.S. territories</t>
  </si>
  <si>
    <t>New England</t>
  </si>
  <si>
    <t>Middle Atlantic</t>
  </si>
  <si>
    <t>East North Central</t>
  </si>
  <si>
    <t>West North Central</t>
  </si>
  <si>
    <t>South Atlantic</t>
  </si>
  <si>
    <t>East South Central</t>
  </si>
  <si>
    <t>West South Central</t>
  </si>
  <si>
    <t>Mountain</t>
  </si>
  <si>
    <t>Pacific</t>
  </si>
  <si>
    <t>No prior treatment episode</t>
  </si>
  <si>
    <t>One or more prior treatment episodes</t>
  </si>
  <si>
    <t>11 years and under</t>
  </si>
  <si>
    <t>12–14 years</t>
  </si>
  <si>
    <t>15–17 years</t>
  </si>
  <si>
    <t>18–20 years</t>
  </si>
  <si>
    <t>21–24 years</t>
  </si>
  <si>
    <t>25–29 years</t>
  </si>
  <si>
    <t>30 years and older</t>
  </si>
  <si>
    <t>Other drugs only</t>
  </si>
  <si>
    <t>Alcohol and other drugs</t>
  </si>
  <si>
    <t>Alcohol-induced disorder</t>
  </si>
  <si>
    <t>Substance-induced disorder</t>
  </si>
  <si>
    <t>Alcohol intoxication</t>
  </si>
  <si>
    <t>Alcohol dependence</t>
  </si>
  <si>
    <t>Opioid dependence</t>
  </si>
  <si>
    <t>Cocaine dependence</t>
  </si>
  <si>
    <t>Cannabis dependence</t>
  </si>
  <si>
    <t>Other substance dependence</t>
  </si>
  <si>
    <t>Alcohol abuse</t>
  </si>
  <si>
    <t>Cannabis abuse</t>
  </si>
  <si>
    <t>Other substance abuse</t>
  </si>
  <si>
    <t>Opioid abuse</t>
  </si>
  <si>
    <t>Cocaine abuse</t>
  </si>
  <si>
    <t>Anxiety disorders</t>
  </si>
  <si>
    <t>Depressive disorders</t>
  </si>
  <si>
    <t>Schizophrenia/other psychotic disorders</t>
  </si>
  <si>
    <t>Bipolar disorders</t>
  </si>
  <si>
    <t>Attention deficit/disruptive behavior disorders</t>
  </si>
  <si>
    <t>Other mental health condition</t>
  </si>
  <si>
    <t>Yes</t>
  </si>
  <si>
    <t>No</t>
  </si>
  <si>
    <t>No attendance</t>
  </si>
  <si>
    <t>1–3 times in the past month</t>
  </si>
  <si>
    <t>4–7 times in the past month</t>
  </si>
  <si>
    <t>8–30 times in the past month</t>
  </si>
  <si>
    <t>Some attendance, frequency unknown</t>
  </si>
  <si>
    <t>Detox, 24-hr, hospital inpatient</t>
  </si>
  <si>
    <t>Detox, 24-hr, free-standing residential</t>
  </si>
  <si>
    <t>Rehab/residential, hospital (non-detox)</t>
  </si>
  <si>
    <t>Rehab/residential, short term (&lt;= 30 days)</t>
  </si>
  <si>
    <t>Rehab/residential, long term (&gt; 30 days)</t>
  </si>
  <si>
    <t>Ambulatory, intensive outpatient</t>
  </si>
  <si>
    <t>Ambulatory, non-intensive outpatient</t>
  </si>
  <si>
    <t>Ambulatory, detox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</si>
</sst>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%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sz val="12"/>
      <color theme="1"/>
      <name val="Aptos Narrow"/>
      <scheme val="minor"/>
    </font>
    <font>
      <b/>
      <sz val="11"/>
      <color rgb="FF000000"/>
      <name val="Lucida Grande"/>
      <family val="2"/>
    </font>
    <font>
      <sz val="11"/>
      <color theme="1"/>
      <name val="Lucida Grande"/>
      <family val="2"/>
    </font>
    <font>
      <sz val="11"/>
      <color rgb="FF000000"/>
      <name val="Lucida Grande"/>
      <family val="2"/>
    </font>
    <font>
      <b/>
      <sz val="11"/>
      <color theme="1"/>
      <name val="Lucida Grande"/>
      <family val="2"/>
    </font>
  </fonts>
  <fills count="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E79"/>
        <bgColor indexed="64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Fill="1"/>
    <xf numFmtId="0" fontId="3" fillId="5" borderId="0" xfId="0" applyFont="1" applyFill="1"/>
    <xf numFmtId="0" fontId="0" fillId="5" borderId="0" xfId="0" applyFill="1"/>
    <xf numFmtId="0" fontId="0" fillId="0" borderId="0" xfId="0" quotePrefix="1"/>
    <xf numFmtId="168" fontId="0" fillId="0" borderId="0" xfId="1" applyNumberFormat="1" applyFont="1"/>
    <xf numFmtId="10" fontId="0" fillId="0" borderId="0" xfId="1" applyNumberFormat="1" applyFont="1"/>
    <xf numFmtId="0" fontId="0" fillId="6" borderId="0" xfId="0" applyFill="1" applyBorder="1" applyAlignment="1">
      <alignment horizontal="center"/>
    </xf>
    <xf numFmtId="0" fontId="0" fillId="7" borderId="0" xfId="0" applyFill="1" applyBorder="1" applyAlignment="1">
      <alignment horizontal="center"/>
    </xf>
    <xf numFmtId="0" fontId="0" fillId="8" borderId="0" xfId="0" applyFill="1" applyBorder="1" applyAlignment="1">
      <alignment horizontal="center"/>
    </xf>
    <xf numFmtId="0" fontId="0" fillId="7" borderId="4" xfId="0" applyFill="1" applyBorder="1"/>
    <xf numFmtId="10" fontId="0" fillId="7" borderId="5" xfId="1" applyNumberFormat="1" applyFont="1" applyFill="1" applyBorder="1"/>
    <xf numFmtId="0" fontId="0" fillId="8" borderId="4" xfId="0" applyFill="1" applyBorder="1"/>
    <xf numFmtId="10" fontId="0" fillId="8" borderId="5" xfId="1" applyNumberFormat="1" applyFont="1" applyFill="1" applyBorder="1"/>
    <xf numFmtId="0" fontId="0" fillId="8" borderId="6" xfId="0" applyFill="1" applyBorder="1"/>
    <xf numFmtId="0" fontId="0" fillId="8" borderId="7" xfId="0" applyFill="1" applyBorder="1" applyAlignment="1">
      <alignment horizontal="center"/>
    </xf>
    <xf numFmtId="10" fontId="0" fillId="8" borderId="8" xfId="1" applyNumberFormat="1" applyFont="1" applyFill="1" applyBorder="1"/>
    <xf numFmtId="0" fontId="2" fillId="0" borderId="1" xfId="0" applyFont="1" applyBorder="1"/>
    <xf numFmtId="0" fontId="2" fillId="0" borderId="2" xfId="0" applyFont="1" applyBorder="1"/>
    <xf numFmtId="10" fontId="2" fillId="0" borderId="3" xfId="1" applyNumberFormat="1" applyFont="1" applyBorder="1"/>
    <xf numFmtId="0" fontId="0" fillId="6" borderId="4" xfId="0" applyFill="1" applyBorder="1"/>
    <xf numFmtId="10" fontId="0" fillId="6" borderId="5" xfId="1" applyNumberFormat="1" applyFont="1" applyFill="1" applyBorder="1"/>
    <xf numFmtId="0" fontId="2" fillId="0" borderId="0" xfId="0" applyFont="1" applyAlignment="1">
      <alignment horizontal="centerContinuous"/>
    </xf>
    <xf numFmtId="0" fontId="4" fillId="0" borderId="0" xfId="0" applyFont="1" applyAlignment="1">
      <alignment horizontal="centerContinuous"/>
    </xf>
    <xf numFmtId="10" fontId="4" fillId="0" borderId="0" xfId="1" applyNumberFormat="1" applyFont="1" applyAlignment="1">
      <alignment horizontal="centerContinuous"/>
    </xf>
    <xf numFmtId="0" fontId="5" fillId="0" borderId="0" xfId="0" applyFont="1"/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wrapText="1"/>
    </xf>
    <xf numFmtId="0" fontId="5" fillId="0" borderId="0" xfId="0" applyFont="1" applyAlignment="1"/>
    <xf numFmtId="0" fontId="5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3">
    <dxf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2D1D57B-1028-F94C-9845-0D722D9570DE}" autoFormatId="16" applyNumberFormats="0" applyBorderFormats="0" applyFontFormats="0" applyPatternFormats="0" applyAlignmentFormats="0" applyWidthHeightFormats="0">
  <queryTableRefresh nextId="6">
    <queryTableFields count="5">
      <queryTableField id="1" name="predictor_name" tableColumnId="1"/>
      <queryTableField id="2" name="x" tableColumnId="2"/>
      <queryTableField id="3" name="predicted" tableColumnId="3"/>
      <queryTableField id="4" name="mean_predicted" tableColumnId="4"/>
      <queryTableField id="5" name="group_mean_diff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3B7992-BF7F-D047-8986-E20B557F9515}" name="all_probs_mean_diff" displayName="all_probs_mean_diff" ref="A1:E112" tableType="queryTable" totalsRowShown="0">
  <autoFilter ref="A1:E112" xr:uid="{243B7992-BF7F-D047-8986-E20B557F9515}"/>
  <sortState xmlns:xlrd2="http://schemas.microsoft.com/office/spreadsheetml/2017/richdata2" ref="A2:E112">
    <sortCondition descending="1" ref="E1:E112"/>
  </sortState>
  <tableColumns count="5">
    <tableColumn id="1" xr3:uid="{F150B5D3-E6A0-0D4D-AE2F-2149F32805D1}" uniqueName="1" name="predictor_name" queryTableFieldId="1" dataDxfId="2"/>
    <tableColumn id="2" xr3:uid="{D38422AA-E7A3-DE44-8352-AF935590A441}" uniqueName="2" name="x" queryTableFieldId="2" dataDxfId="1"/>
    <tableColumn id="3" xr3:uid="{AAF5BD15-3E30-554E-874A-9A75345EE635}" uniqueName="3" name="predicted" queryTableFieldId="3"/>
    <tableColumn id="4" xr3:uid="{5732BBD6-2ADA-9241-B755-BF65D0B7DDE2}" uniqueName="4" name="mean_predicted" queryTableFieldId="4"/>
    <tableColumn id="5" xr3:uid="{883885C1-CED9-E74B-90DE-A414631802C9}" uniqueName="5" name="group_mean_diff" queryTableFieldId="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DE67-2766-F94D-803B-3DD5B11E6450}">
  <dimension ref="B2:L30"/>
  <sheetViews>
    <sheetView zoomScale="84" zoomScaleNormal="161" workbookViewId="0">
      <selection activeCell="G21" sqref="G21"/>
    </sheetView>
  </sheetViews>
  <sheetFormatPr baseColWidth="10" defaultRowHeight="16" x14ac:dyDescent="0.2"/>
  <cols>
    <col min="2" max="2" width="19" customWidth="1"/>
    <col min="4" max="4" width="23" customWidth="1"/>
    <col min="5" max="5" width="42.83203125" customWidth="1"/>
    <col min="9" max="9" width="31" customWidth="1"/>
    <col min="10" max="10" width="13.1640625" customWidth="1"/>
    <col min="11" max="11" width="12" style="10" customWidth="1"/>
    <col min="12" max="12" width="10.83203125" style="9"/>
    <col min="15" max="16" width="10.83203125" customWidth="1"/>
    <col min="17" max="17" width="16.33203125" customWidth="1"/>
    <col min="18" max="18" width="16.5" customWidth="1"/>
    <col min="19" max="19" width="18" customWidth="1"/>
  </cols>
  <sheetData>
    <row r="2" spans="2:5" x14ac:dyDescent="0.2">
      <c r="D2" s="1" t="s">
        <v>2</v>
      </c>
      <c r="E2" s="1" t="s">
        <v>1</v>
      </c>
    </row>
    <row r="3" spans="2:5" x14ac:dyDescent="0.2">
      <c r="D3" s="2" t="s">
        <v>3</v>
      </c>
      <c r="E3" t="s">
        <v>10</v>
      </c>
    </row>
    <row r="4" spans="2:5" x14ac:dyDescent="0.2">
      <c r="B4" s="2" t="s">
        <v>0</v>
      </c>
      <c r="D4" s="2" t="s">
        <v>4</v>
      </c>
      <c r="E4" t="s">
        <v>11</v>
      </c>
    </row>
    <row r="5" spans="2:5" x14ac:dyDescent="0.2">
      <c r="B5" s="3" t="s">
        <v>9</v>
      </c>
      <c r="D5" s="2" t="s">
        <v>5</v>
      </c>
      <c r="E5" t="s">
        <v>12</v>
      </c>
    </row>
    <row r="6" spans="2:5" x14ac:dyDescent="0.2">
      <c r="B6" s="4" t="s">
        <v>22</v>
      </c>
      <c r="D6" s="2" t="s">
        <v>6</v>
      </c>
      <c r="E6" t="s">
        <v>69</v>
      </c>
    </row>
    <row r="7" spans="2:5" ht="16" customHeight="1" x14ac:dyDescent="0.2">
      <c r="D7" s="2" t="s">
        <v>7</v>
      </c>
      <c r="E7" t="s">
        <v>70</v>
      </c>
    </row>
    <row r="8" spans="2:5" x14ac:dyDescent="0.2">
      <c r="B8" s="6" t="s">
        <v>31</v>
      </c>
      <c r="D8" s="2" t="s">
        <v>8</v>
      </c>
      <c r="E8" t="s">
        <v>71</v>
      </c>
    </row>
    <row r="9" spans="2:5" x14ac:dyDescent="0.2">
      <c r="D9" s="3" t="s">
        <v>13</v>
      </c>
      <c r="E9" t="s">
        <v>49</v>
      </c>
    </row>
    <row r="10" spans="2:5" x14ac:dyDescent="0.2">
      <c r="D10" s="3" t="s">
        <v>14</v>
      </c>
      <c r="E10" t="s">
        <v>50</v>
      </c>
    </row>
    <row r="11" spans="2:5" x14ac:dyDescent="0.2">
      <c r="D11" s="3" t="s">
        <v>15</v>
      </c>
      <c r="E11" t="s">
        <v>51</v>
      </c>
    </row>
    <row r="12" spans="2:5" x14ac:dyDescent="0.2">
      <c r="D12" s="3" t="s">
        <v>16</v>
      </c>
      <c r="E12" t="s">
        <v>52</v>
      </c>
    </row>
    <row r="13" spans="2:5" x14ac:dyDescent="0.2">
      <c r="D13" s="3" t="s">
        <v>17</v>
      </c>
      <c r="E13" t="s">
        <v>53</v>
      </c>
    </row>
    <row r="14" spans="2:5" x14ac:dyDescent="0.2">
      <c r="D14" s="3" t="s">
        <v>18</v>
      </c>
      <c r="E14" t="s">
        <v>54</v>
      </c>
    </row>
    <row r="15" spans="2:5" x14ac:dyDescent="0.2">
      <c r="D15" s="3" t="s">
        <v>19</v>
      </c>
      <c r="E15" t="s">
        <v>55</v>
      </c>
    </row>
    <row r="16" spans="2:5" x14ac:dyDescent="0.2">
      <c r="D16" s="3" t="s">
        <v>20</v>
      </c>
      <c r="E16" s="8" t="s">
        <v>36</v>
      </c>
    </row>
    <row r="17" spans="4:5" ht="16" customHeight="1" x14ac:dyDescent="0.2">
      <c r="D17" s="3" t="s">
        <v>21</v>
      </c>
      <c r="E17" s="8" t="s">
        <v>56</v>
      </c>
    </row>
    <row r="18" spans="4:5" x14ac:dyDescent="0.2">
      <c r="D18" s="4" t="s">
        <v>23</v>
      </c>
      <c r="E18" t="s">
        <v>37</v>
      </c>
    </row>
    <row r="19" spans="4:5" x14ac:dyDescent="0.2">
      <c r="D19" s="4" t="s">
        <v>24</v>
      </c>
      <c r="E19" t="s">
        <v>38</v>
      </c>
    </row>
    <row r="20" spans="4:5" x14ac:dyDescent="0.2">
      <c r="D20" s="4" t="s">
        <v>25</v>
      </c>
      <c r="E20" t="s">
        <v>39</v>
      </c>
    </row>
    <row r="21" spans="4:5" x14ac:dyDescent="0.2">
      <c r="D21" s="4" t="s">
        <v>26</v>
      </c>
      <c r="E21" t="s">
        <v>40</v>
      </c>
    </row>
    <row r="22" spans="4:5" x14ac:dyDescent="0.2">
      <c r="D22" s="4" t="s">
        <v>27</v>
      </c>
      <c r="E22" t="s">
        <v>41</v>
      </c>
    </row>
    <row r="23" spans="4:5" x14ac:dyDescent="0.2">
      <c r="D23" s="4" t="s">
        <v>28</v>
      </c>
      <c r="E23" t="s">
        <v>42</v>
      </c>
    </row>
    <row r="24" spans="4:5" x14ac:dyDescent="0.2">
      <c r="D24" s="4" t="s">
        <v>29</v>
      </c>
      <c r="E24" t="s">
        <v>43</v>
      </c>
    </row>
    <row r="25" spans="4:5" ht="16" customHeight="1" x14ac:dyDescent="0.2">
      <c r="D25" s="4" t="s">
        <v>30</v>
      </c>
      <c r="E25" t="s">
        <v>47</v>
      </c>
    </row>
    <row r="26" spans="4:5" x14ac:dyDescent="0.2">
      <c r="D26" s="4" t="s">
        <v>32</v>
      </c>
      <c r="E26" s="5" t="s">
        <v>44</v>
      </c>
    </row>
    <row r="28" spans="4:5" x14ac:dyDescent="0.2">
      <c r="D28" s="7" t="s">
        <v>33</v>
      </c>
      <c r="E28" t="s">
        <v>45</v>
      </c>
    </row>
    <row r="29" spans="4:5" x14ac:dyDescent="0.2">
      <c r="D29" s="7" t="s">
        <v>34</v>
      </c>
      <c r="E29" t="s">
        <v>46</v>
      </c>
    </row>
    <row r="30" spans="4:5" x14ac:dyDescent="0.2">
      <c r="D30" s="7" t="s">
        <v>35</v>
      </c>
      <c r="E30" t="s">
        <v>48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4A90D-9177-8143-B5FC-8BD5604E63C3}">
  <dimension ref="B3:D14"/>
  <sheetViews>
    <sheetView workbookViewId="0">
      <selection activeCell="B18" sqref="B18"/>
    </sheetView>
  </sheetViews>
  <sheetFormatPr baseColWidth="10" defaultRowHeight="16" x14ac:dyDescent="0.2"/>
  <cols>
    <col min="2" max="2" width="30.83203125" customWidth="1"/>
  </cols>
  <sheetData>
    <row r="3" spans="2:4" ht="17" thickBot="1" x14ac:dyDescent="0.25">
      <c r="B3" s="26" t="s">
        <v>57</v>
      </c>
      <c r="C3" s="27"/>
      <c r="D3" s="28"/>
    </row>
    <row r="4" spans="2:4" x14ac:dyDescent="0.2">
      <c r="B4" s="21" t="s">
        <v>58</v>
      </c>
      <c r="C4" s="22" t="s">
        <v>59</v>
      </c>
      <c r="D4" s="23" t="s">
        <v>60</v>
      </c>
    </row>
    <row r="5" spans="2:4" x14ac:dyDescent="0.2">
      <c r="B5" s="24" t="s">
        <v>61</v>
      </c>
      <c r="C5" s="11">
        <v>1</v>
      </c>
      <c r="D5" s="25">
        <v>0.23702395500000001</v>
      </c>
    </row>
    <row r="6" spans="2:4" x14ac:dyDescent="0.2">
      <c r="B6" s="14" t="s">
        <v>62</v>
      </c>
      <c r="C6" s="12">
        <v>0</v>
      </c>
      <c r="D6" s="15">
        <v>0.242893678</v>
      </c>
    </row>
    <row r="7" spans="2:4" x14ac:dyDescent="0.2">
      <c r="B7" s="14" t="s">
        <v>63</v>
      </c>
      <c r="C7" s="12">
        <v>0</v>
      </c>
      <c r="D7" s="15">
        <v>4.1317671E-2</v>
      </c>
    </row>
    <row r="8" spans="2:4" x14ac:dyDescent="0.2">
      <c r="B8" s="16" t="s">
        <v>64</v>
      </c>
      <c r="C8" s="13" t="s">
        <v>65</v>
      </c>
      <c r="D8" s="17">
        <v>0.41141799099999998</v>
      </c>
    </row>
    <row r="9" spans="2:4" x14ac:dyDescent="0.2">
      <c r="B9" s="16" t="s">
        <v>66</v>
      </c>
      <c r="C9" s="13" t="s">
        <v>65</v>
      </c>
      <c r="D9" s="17">
        <v>1.1319308E-2</v>
      </c>
    </row>
    <row r="10" spans="2:4" x14ac:dyDescent="0.2">
      <c r="B10" s="16" t="s">
        <v>67</v>
      </c>
      <c r="C10" s="13" t="s">
        <v>65</v>
      </c>
      <c r="D10" s="17">
        <v>5.4837820000000004E-3</v>
      </c>
    </row>
    <row r="11" spans="2:4" ht="17" thickBot="1" x14ac:dyDescent="0.25">
      <c r="B11" s="18" t="s">
        <v>68</v>
      </c>
      <c r="C11" s="19" t="s">
        <v>65</v>
      </c>
      <c r="D11" s="20">
        <v>5.0543615E-2</v>
      </c>
    </row>
    <row r="12" spans="2:4" x14ac:dyDescent="0.2">
      <c r="D12" s="10"/>
    </row>
    <row r="13" spans="2:4" x14ac:dyDescent="0.2">
      <c r="D13" s="10"/>
    </row>
    <row r="14" spans="2:4" x14ac:dyDescent="0.2">
      <c r="D14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EE6BD-68F2-F74E-B85B-9CCD81393AF1}">
  <dimension ref="D8:I32"/>
  <sheetViews>
    <sheetView workbookViewId="0">
      <selection activeCell="C28" sqref="C28"/>
    </sheetView>
  </sheetViews>
  <sheetFormatPr baseColWidth="10" defaultRowHeight="16" x14ac:dyDescent="0.2"/>
  <cols>
    <col min="6" max="6" width="13.5" customWidth="1"/>
  </cols>
  <sheetData>
    <row r="8" spans="4:9" x14ac:dyDescent="0.2">
      <c r="F8" s="1" t="s">
        <v>75</v>
      </c>
    </row>
    <row r="9" spans="4:9" x14ac:dyDescent="0.2">
      <c r="E9" s="32" t="s">
        <v>127</v>
      </c>
      <c r="F9" s="32" t="s">
        <v>72</v>
      </c>
      <c r="G9" s="33" t="s">
        <v>73</v>
      </c>
      <c r="H9" s="30" t="s">
        <v>74</v>
      </c>
      <c r="I9" s="29"/>
    </row>
    <row r="10" spans="4:9" x14ac:dyDescent="0.2">
      <c r="D10" s="29"/>
      <c r="E10" s="30"/>
      <c r="F10" s="32"/>
      <c r="G10" s="33"/>
      <c r="H10" s="30"/>
    </row>
    <row r="11" spans="4:9" x14ac:dyDescent="0.2">
      <c r="D11" s="31"/>
      <c r="E11" s="35" t="s">
        <v>76</v>
      </c>
      <c r="F11" s="35" t="s">
        <v>77</v>
      </c>
      <c r="G11" s="35" t="s">
        <v>78</v>
      </c>
      <c r="H11" s="35" t="s">
        <v>79</v>
      </c>
    </row>
    <row r="12" spans="4:9" x14ac:dyDescent="0.2">
      <c r="D12" s="31"/>
      <c r="E12" s="31" t="s">
        <v>80</v>
      </c>
      <c r="F12" s="31" t="s">
        <v>81</v>
      </c>
      <c r="G12" s="31" t="s">
        <v>82</v>
      </c>
      <c r="H12" s="31" t="s">
        <v>83</v>
      </c>
    </row>
    <row r="13" spans="4:9" x14ac:dyDescent="0.2">
      <c r="D13" s="31"/>
      <c r="E13" s="31" t="s">
        <v>84</v>
      </c>
      <c r="F13" s="31" t="s">
        <v>85</v>
      </c>
      <c r="G13" s="31" t="s">
        <v>86</v>
      </c>
      <c r="H13" s="31" t="s">
        <v>87</v>
      </c>
    </row>
    <row r="14" spans="4:9" x14ac:dyDescent="0.2">
      <c r="D14" s="31"/>
      <c r="E14" s="31" t="s">
        <v>88</v>
      </c>
      <c r="F14" s="31" t="s">
        <v>89</v>
      </c>
      <c r="G14" s="31" t="s">
        <v>90</v>
      </c>
      <c r="H14" s="31" t="s">
        <v>91</v>
      </c>
    </row>
    <row r="15" spans="4:9" x14ac:dyDescent="0.2">
      <c r="E15" s="31" t="s">
        <v>68</v>
      </c>
      <c r="F15" s="31" t="s">
        <v>92</v>
      </c>
      <c r="G15" s="31" t="s">
        <v>93</v>
      </c>
      <c r="H15" s="31" t="s">
        <v>94</v>
      </c>
    </row>
    <row r="18" spans="5:8" x14ac:dyDescent="0.2">
      <c r="F18" s="1" t="s">
        <v>110</v>
      </c>
    </row>
    <row r="19" spans="5:8" ht="46" x14ac:dyDescent="0.2">
      <c r="E19" s="29" t="s">
        <v>24</v>
      </c>
      <c r="F19" s="34" t="s">
        <v>72</v>
      </c>
      <c r="G19" s="29" t="s">
        <v>73</v>
      </c>
      <c r="H19" s="29" t="s">
        <v>74</v>
      </c>
    </row>
    <row r="20" spans="5:8" x14ac:dyDescent="0.2">
      <c r="E20" s="31" t="s">
        <v>76</v>
      </c>
      <c r="F20" s="31" t="s">
        <v>95</v>
      </c>
      <c r="G20" s="31" t="s">
        <v>96</v>
      </c>
      <c r="H20" s="31" t="s">
        <v>97</v>
      </c>
    </row>
    <row r="21" spans="5:8" x14ac:dyDescent="0.2">
      <c r="E21" s="31" t="s">
        <v>80</v>
      </c>
      <c r="F21" s="31" t="s">
        <v>98</v>
      </c>
      <c r="G21" s="31" t="s">
        <v>99</v>
      </c>
      <c r="H21" s="31" t="s">
        <v>100</v>
      </c>
    </row>
    <row r="22" spans="5:8" x14ac:dyDescent="0.2">
      <c r="E22" s="31" t="s">
        <v>84</v>
      </c>
      <c r="F22" s="31" t="s">
        <v>101</v>
      </c>
      <c r="G22" s="31" t="s">
        <v>102</v>
      </c>
      <c r="H22" s="31" t="s">
        <v>103</v>
      </c>
    </row>
    <row r="23" spans="5:8" x14ac:dyDescent="0.2">
      <c r="E23" s="31" t="s">
        <v>88</v>
      </c>
      <c r="F23" s="31" t="s">
        <v>104</v>
      </c>
      <c r="G23" s="31" t="s">
        <v>105</v>
      </c>
      <c r="H23" s="31" t="s">
        <v>106</v>
      </c>
    </row>
    <row r="24" spans="5:8" x14ac:dyDescent="0.2">
      <c r="E24" s="31" t="s">
        <v>68</v>
      </c>
      <c r="F24" s="31" t="s">
        <v>107</v>
      </c>
      <c r="G24" s="31" t="s">
        <v>108</v>
      </c>
      <c r="H24" s="31" t="s">
        <v>109</v>
      </c>
    </row>
    <row r="27" spans="5:8" x14ac:dyDescent="0.2">
      <c r="F27" s="36" t="s">
        <v>126</v>
      </c>
    </row>
    <row r="28" spans="5:8" ht="46" x14ac:dyDescent="0.2">
      <c r="E28" s="29" t="s">
        <v>24</v>
      </c>
      <c r="F28" s="34" t="s">
        <v>72</v>
      </c>
      <c r="G28" s="29" t="s">
        <v>73</v>
      </c>
      <c r="H28" s="29" t="s">
        <v>74</v>
      </c>
    </row>
    <row r="29" spans="5:8" x14ac:dyDescent="0.2">
      <c r="E29" s="31" t="s">
        <v>76</v>
      </c>
      <c r="F29" s="31" t="s">
        <v>111</v>
      </c>
      <c r="G29" s="31" t="s">
        <v>112</v>
      </c>
      <c r="H29" s="31" t="s">
        <v>113</v>
      </c>
    </row>
    <row r="30" spans="5:8" x14ac:dyDescent="0.2">
      <c r="E30" s="31" t="s">
        <v>80</v>
      </c>
      <c r="F30" s="31" t="s">
        <v>114</v>
      </c>
      <c r="G30" s="31" t="s">
        <v>115</v>
      </c>
      <c r="H30" s="31" t="s">
        <v>116</v>
      </c>
    </row>
    <row r="31" spans="5:8" x14ac:dyDescent="0.2">
      <c r="E31" s="31" t="s">
        <v>84</v>
      </c>
      <c r="F31" s="31" t="s">
        <v>117</v>
      </c>
      <c r="G31" s="31" t="s">
        <v>118</v>
      </c>
      <c r="H31" s="31" t="s">
        <v>119</v>
      </c>
    </row>
    <row r="32" spans="5:8" x14ac:dyDescent="0.2">
      <c r="E32" s="31" t="s">
        <v>88</v>
      </c>
      <c r="F32" s="31" t="s">
        <v>120</v>
      </c>
      <c r="G32" s="31" t="s">
        <v>121</v>
      </c>
      <c r="H32" s="31" t="s">
        <v>122</v>
      </c>
    </row>
  </sheetData>
  <mergeCells count="4">
    <mergeCell ref="H9:H10"/>
    <mergeCell ref="E9:E10"/>
    <mergeCell ref="F9:F10"/>
    <mergeCell ref="G9:G10"/>
  </mergeCells>
  <conditionalFormatting sqref="F11:H15">
    <cfRule type="colorScale" priority="1">
      <colorScale>
        <cfvo type="min"/>
        <cfvo type="percentile" val="0"/>
        <cfvo type="max"/>
        <color rgb="FFC00000"/>
        <color theme="2" tint="-0.249977111117893"/>
        <color rgb="FF00B05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29DC6-02B7-1B43-99FD-3B5671FCD7DA}">
  <dimension ref="A1:E112"/>
  <sheetViews>
    <sheetView tabSelected="1" workbookViewId="0">
      <selection activeCell="E2" sqref="A2:E112"/>
    </sheetView>
  </sheetViews>
  <sheetFormatPr baseColWidth="10" defaultRowHeight="16" x14ac:dyDescent="0.2"/>
  <cols>
    <col min="1" max="1" width="20.83203125" bestFit="1" customWidth="1"/>
    <col min="2" max="2" width="38.83203125" bestFit="1" customWidth="1"/>
    <col min="3" max="3" width="11.5" bestFit="1" customWidth="1"/>
    <col min="4" max="4" width="17" bestFit="1" customWidth="1"/>
    <col min="5" max="5" width="17.5" bestFit="1" customWidth="1"/>
  </cols>
  <sheetData>
    <row r="1" spans="1:5" x14ac:dyDescent="0.2">
      <c r="A1" t="s">
        <v>128</v>
      </c>
      <c r="B1" t="s">
        <v>129</v>
      </c>
      <c r="C1" t="s">
        <v>130</v>
      </c>
      <c r="D1" t="s">
        <v>131</v>
      </c>
      <c r="E1" t="s">
        <v>132</v>
      </c>
    </row>
    <row r="2" spans="1:5" x14ac:dyDescent="0.2">
      <c r="A2" s="37" t="s">
        <v>32</v>
      </c>
      <c r="B2" s="37" t="s">
        <v>226</v>
      </c>
      <c r="C2">
        <v>0.66314689999999998</v>
      </c>
      <c r="D2">
        <v>0.45269510000000002</v>
      </c>
      <c r="E2">
        <v>0.21045178219999999</v>
      </c>
    </row>
    <row r="3" spans="1:5" x14ac:dyDescent="0.2">
      <c r="A3" s="37" t="s">
        <v>32</v>
      </c>
      <c r="B3" s="37" t="s">
        <v>227</v>
      </c>
      <c r="C3">
        <v>0.61519630000000003</v>
      </c>
      <c r="D3">
        <v>0.45269510000000002</v>
      </c>
      <c r="E3">
        <v>0.1625011975</v>
      </c>
    </row>
    <row r="4" spans="1:5" x14ac:dyDescent="0.2">
      <c r="A4" s="37" t="s">
        <v>32</v>
      </c>
      <c r="B4" s="37" t="s">
        <v>229</v>
      </c>
      <c r="C4">
        <v>0.59833789999999998</v>
      </c>
      <c r="D4">
        <v>0.45269510000000002</v>
      </c>
      <c r="E4">
        <v>0.1456427861</v>
      </c>
    </row>
    <row r="5" spans="1:5" x14ac:dyDescent="0.2">
      <c r="A5" s="37" t="s">
        <v>15</v>
      </c>
      <c r="B5" s="37" t="s">
        <v>154</v>
      </c>
      <c r="C5">
        <v>0.73960150000000002</v>
      </c>
      <c r="D5">
        <v>0.59509369999999995</v>
      </c>
      <c r="E5">
        <v>0.14450771400000001</v>
      </c>
    </row>
    <row r="6" spans="1:5" x14ac:dyDescent="0.2">
      <c r="A6" s="37" t="s">
        <v>28</v>
      </c>
      <c r="B6" s="37" t="s">
        <v>201</v>
      </c>
      <c r="C6">
        <v>0.86084329999999998</v>
      </c>
      <c r="D6">
        <v>0.74692389999999997</v>
      </c>
      <c r="E6">
        <v>0.11391940540000001</v>
      </c>
    </row>
    <row r="7" spans="1:5" x14ac:dyDescent="0.2">
      <c r="A7" s="37" t="s">
        <v>21</v>
      </c>
      <c r="B7" s="37" t="s">
        <v>187</v>
      </c>
      <c r="C7">
        <v>0.93319160000000001</v>
      </c>
      <c r="D7">
        <v>0.82261879999999998</v>
      </c>
      <c r="E7">
        <v>0.1105728666</v>
      </c>
    </row>
    <row r="8" spans="1:5" x14ac:dyDescent="0.2">
      <c r="A8" s="37" t="s">
        <v>25</v>
      </c>
      <c r="B8" s="37" t="s">
        <v>72</v>
      </c>
      <c r="C8">
        <v>0.66314689999999998</v>
      </c>
      <c r="D8">
        <v>0.55618469999999998</v>
      </c>
      <c r="E8">
        <v>0.1069621387</v>
      </c>
    </row>
    <row r="9" spans="1:5" x14ac:dyDescent="0.2">
      <c r="A9" s="37" t="s">
        <v>21</v>
      </c>
      <c r="B9" s="37" t="s">
        <v>184</v>
      </c>
      <c r="C9">
        <v>0.91481820000000003</v>
      </c>
      <c r="D9">
        <v>0.82261879999999998</v>
      </c>
      <c r="E9">
        <v>9.2199406499999997E-2</v>
      </c>
    </row>
    <row r="10" spans="1:5" x14ac:dyDescent="0.2">
      <c r="A10" s="37" t="s">
        <v>28</v>
      </c>
      <c r="B10" s="37" t="s">
        <v>213</v>
      </c>
      <c r="C10">
        <v>0.81780090000000005</v>
      </c>
      <c r="D10">
        <v>0.74692389999999997</v>
      </c>
      <c r="E10">
        <v>7.0876972400000002E-2</v>
      </c>
    </row>
    <row r="11" spans="1:5" x14ac:dyDescent="0.2">
      <c r="A11" s="37" t="s">
        <v>32</v>
      </c>
      <c r="B11" s="37" t="s">
        <v>228</v>
      </c>
      <c r="C11">
        <v>0.52170249999999996</v>
      </c>
      <c r="D11">
        <v>0.45269510000000002</v>
      </c>
      <c r="E11">
        <v>6.9007442599999996E-2</v>
      </c>
    </row>
    <row r="12" spans="1:5" x14ac:dyDescent="0.2">
      <c r="A12" s="37" t="s">
        <v>28</v>
      </c>
      <c r="B12" s="37" t="s">
        <v>216</v>
      </c>
      <c r="C12">
        <v>0.81559919999999997</v>
      </c>
      <c r="D12">
        <v>0.74692389999999997</v>
      </c>
      <c r="E12">
        <v>6.8675312000000002E-2</v>
      </c>
    </row>
    <row r="13" spans="1:5" x14ac:dyDescent="0.2">
      <c r="A13" s="37" t="s">
        <v>15</v>
      </c>
      <c r="B13" s="37" t="s">
        <v>152</v>
      </c>
      <c r="C13">
        <v>0.66314689999999998</v>
      </c>
      <c r="D13">
        <v>0.59509369999999995</v>
      </c>
      <c r="E13">
        <v>6.80531214E-2</v>
      </c>
    </row>
    <row r="14" spans="1:5" x14ac:dyDescent="0.2">
      <c r="A14" s="37" t="s">
        <v>28</v>
      </c>
      <c r="B14" s="37" t="s">
        <v>217</v>
      </c>
      <c r="C14">
        <v>0.79876760000000002</v>
      </c>
      <c r="D14">
        <v>0.74692389999999997</v>
      </c>
      <c r="E14">
        <v>5.1843670299999998E-2</v>
      </c>
    </row>
    <row r="15" spans="1:5" x14ac:dyDescent="0.2">
      <c r="A15" s="37" t="s">
        <v>21</v>
      </c>
      <c r="B15" s="37" t="s">
        <v>181</v>
      </c>
      <c r="C15">
        <v>0.87293639999999995</v>
      </c>
      <c r="D15">
        <v>0.82261879999999998</v>
      </c>
      <c r="E15">
        <v>5.0317670199999998E-2</v>
      </c>
    </row>
    <row r="16" spans="1:5" x14ac:dyDescent="0.2">
      <c r="A16" s="37" t="s">
        <v>21</v>
      </c>
      <c r="B16" s="37" t="s">
        <v>180</v>
      </c>
      <c r="C16">
        <v>0.869286</v>
      </c>
      <c r="D16">
        <v>0.82261879999999998</v>
      </c>
      <c r="E16">
        <v>4.6667189400000003E-2</v>
      </c>
    </row>
    <row r="17" spans="1:5" x14ac:dyDescent="0.2">
      <c r="A17" s="37" t="s">
        <v>13</v>
      </c>
      <c r="B17" s="37" t="s">
        <v>149</v>
      </c>
      <c r="C17">
        <v>0.67850730000000004</v>
      </c>
      <c r="D17">
        <v>0.63286370000000003</v>
      </c>
      <c r="E17">
        <v>4.5643619500000003E-2</v>
      </c>
    </row>
    <row r="18" spans="1:5" x14ac:dyDescent="0.2">
      <c r="A18" s="37" t="s">
        <v>13</v>
      </c>
      <c r="B18" s="37" t="s">
        <v>148</v>
      </c>
      <c r="C18">
        <v>0.67650909999999997</v>
      </c>
      <c r="D18">
        <v>0.63286370000000003</v>
      </c>
      <c r="E18">
        <v>4.36453838E-2</v>
      </c>
    </row>
    <row r="19" spans="1:5" x14ac:dyDescent="0.2">
      <c r="A19" s="37" t="s">
        <v>24</v>
      </c>
      <c r="B19" s="37" t="s">
        <v>76</v>
      </c>
      <c r="C19">
        <v>0.66314689999999998</v>
      </c>
      <c r="D19">
        <v>0.62395100000000003</v>
      </c>
      <c r="E19">
        <v>3.9195883299999998E-2</v>
      </c>
    </row>
    <row r="20" spans="1:5" x14ac:dyDescent="0.2">
      <c r="A20" s="37" t="s">
        <v>17</v>
      </c>
      <c r="B20" s="37" t="s">
        <v>167</v>
      </c>
      <c r="C20">
        <v>0.72873330000000003</v>
      </c>
      <c r="D20">
        <v>0.69255940000000005</v>
      </c>
      <c r="E20">
        <v>3.6173958999999999E-2</v>
      </c>
    </row>
    <row r="21" spans="1:5" x14ac:dyDescent="0.2">
      <c r="A21" s="37" t="s">
        <v>18</v>
      </c>
      <c r="B21" s="37" t="s">
        <v>168</v>
      </c>
      <c r="C21">
        <v>0.66314689999999998</v>
      </c>
      <c r="D21">
        <v>0.62885970000000002</v>
      </c>
      <c r="E21">
        <v>3.4287171599999999E-2</v>
      </c>
    </row>
    <row r="22" spans="1:5" x14ac:dyDescent="0.2">
      <c r="A22" s="37" t="s">
        <v>30</v>
      </c>
      <c r="B22" s="37" t="s">
        <v>224</v>
      </c>
      <c r="C22">
        <v>0.72811610000000004</v>
      </c>
      <c r="D22">
        <v>0.69527890000000003</v>
      </c>
      <c r="E22">
        <v>3.2837168100000001E-2</v>
      </c>
    </row>
    <row r="23" spans="1:5" x14ac:dyDescent="0.2">
      <c r="A23" s="37" t="s">
        <v>13</v>
      </c>
      <c r="B23" s="37" t="s">
        <v>138</v>
      </c>
      <c r="C23">
        <v>0.66314689999999998</v>
      </c>
      <c r="D23">
        <v>0.63286370000000003</v>
      </c>
      <c r="E23">
        <v>3.0283177099999999E-2</v>
      </c>
    </row>
    <row r="24" spans="1:5" x14ac:dyDescent="0.2">
      <c r="A24" s="37" t="s">
        <v>30</v>
      </c>
      <c r="B24" s="37" t="s">
        <v>223</v>
      </c>
      <c r="C24">
        <v>0.72368880000000002</v>
      </c>
      <c r="D24">
        <v>0.69527890000000003</v>
      </c>
      <c r="E24">
        <v>2.8409894200000001E-2</v>
      </c>
    </row>
    <row r="25" spans="1:5" x14ac:dyDescent="0.2">
      <c r="A25" s="37" t="s">
        <v>20</v>
      </c>
      <c r="B25" s="37" t="s">
        <v>68</v>
      </c>
      <c r="C25">
        <v>0.67895519999999998</v>
      </c>
      <c r="D25">
        <v>0.65244829999999998</v>
      </c>
      <c r="E25">
        <v>2.6506951899999999E-2</v>
      </c>
    </row>
    <row r="26" spans="1:5" x14ac:dyDescent="0.2">
      <c r="A26" s="37" t="s">
        <v>28</v>
      </c>
      <c r="B26" s="37" t="s">
        <v>209</v>
      </c>
      <c r="C26">
        <v>0.77331000000000005</v>
      </c>
      <c r="D26">
        <v>0.74692389999999997</v>
      </c>
      <c r="E26">
        <v>2.6386143599999998E-2</v>
      </c>
    </row>
    <row r="27" spans="1:5" x14ac:dyDescent="0.2">
      <c r="A27" s="37" t="s">
        <v>3</v>
      </c>
      <c r="B27" s="37" t="s">
        <v>75</v>
      </c>
      <c r="C27">
        <v>0.66314689999999998</v>
      </c>
      <c r="D27">
        <v>0.6375653</v>
      </c>
      <c r="E27">
        <v>2.55815694E-2</v>
      </c>
    </row>
    <row r="28" spans="1:5" x14ac:dyDescent="0.2">
      <c r="A28" s="37" t="s">
        <v>28</v>
      </c>
      <c r="B28" s="37" t="s">
        <v>215</v>
      </c>
      <c r="C28">
        <v>0.7712154</v>
      </c>
      <c r="D28">
        <v>0.74692389999999997</v>
      </c>
      <c r="E28">
        <v>2.4291532000000001E-2</v>
      </c>
    </row>
    <row r="29" spans="1:5" x14ac:dyDescent="0.2">
      <c r="A29" s="37" t="s">
        <v>21</v>
      </c>
      <c r="B29" s="37" t="s">
        <v>186</v>
      </c>
      <c r="C29">
        <v>0.84673739999999997</v>
      </c>
      <c r="D29">
        <v>0.82261879999999998</v>
      </c>
      <c r="E29">
        <v>2.4118660399999999E-2</v>
      </c>
    </row>
    <row r="30" spans="1:5" x14ac:dyDescent="0.2">
      <c r="A30" s="37" t="s">
        <v>21</v>
      </c>
      <c r="B30" s="37" t="s">
        <v>185</v>
      </c>
      <c r="C30">
        <v>0.84579850000000001</v>
      </c>
      <c r="D30">
        <v>0.82261879999999998</v>
      </c>
      <c r="E30">
        <v>2.31796947E-2</v>
      </c>
    </row>
    <row r="31" spans="1:5" x14ac:dyDescent="0.2">
      <c r="A31" s="37" t="s">
        <v>13</v>
      </c>
      <c r="B31" s="37" t="s">
        <v>147</v>
      </c>
      <c r="C31">
        <v>0.65466789999999997</v>
      </c>
      <c r="D31">
        <v>0.63286370000000003</v>
      </c>
      <c r="E31">
        <v>2.18042063E-2</v>
      </c>
    </row>
    <row r="32" spans="1:5" x14ac:dyDescent="0.2">
      <c r="A32" s="37" t="s">
        <v>134</v>
      </c>
      <c r="B32" s="37" t="s">
        <v>135</v>
      </c>
      <c r="C32">
        <v>0.66314689999999998</v>
      </c>
      <c r="D32">
        <v>0.6435263</v>
      </c>
      <c r="E32">
        <v>1.96205424E-2</v>
      </c>
    </row>
    <row r="33" spans="1:5" x14ac:dyDescent="0.2">
      <c r="A33" s="37" t="s">
        <v>24</v>
      </c>
      <c r="B33" s="37" t="s">
        <v>68</v>
      </c>
      <c r="C33">
        <v>0.64307159999999997</v>
      </c>
      <c r="D33">
        <v>0.62395100000000003</v>
      </c>
      <c r="E33">
        <v>1.9120609399999999E-2</v>
      </c>
    </row>
    <row r="34" spans="1:5" x14ac:dyDescent="0.2">
      <c r="A34" s="37" t="s">
        <v>3</v>
      </c>
      <c r="B34" s="37" t="s">
        <v>126</v>
      </c>
      <c r="C34">
        <v>0.6556824</v>
      </c>
      <c r="D34">
        <v>0.6375653</v>
      </c>
      <c r="E34">
        <v>1.8117139399999999E-2</v>
      </c>
    </row>
    <row r="35" spans="1:5" x14ac:dyDescent="0.2">
      <c r="A35" s="37" t="s">
        <v>16</v>
      </c>
      <c r="B35" s="37" t="s">
        <v>162</v>
      </c>
      <c r="C35">
        <v>0.69551180000000001</v>
      </c>
      <c r="D35">
        <v>0.67932930000000002</v>
      </c>
      <c r="E35">
        <v>1.61824759E-2</v>
      </c>
    </row>
    <row r="36" spans="1:5" x14ac:dyDescent="0.2">
      <c r="A36" s="37" t="s">
        <v>14</v>
      </c>
      <c r="B36" s="37" t="s">
        <v>150</v>
      </c>
      <c r="C36">
        <v>0.66314689999999998</v>
      </c>
      <c r="D36">
        <v>0.64729080000000006</v>
      </c>
      <c r="E36">
        <v>1.5856077400000002E-2</v>
      </c>
    </row>
    <row r="37" spans="1:5" x14ac:dyDescent="0.2">
      <c r="A37" s="37" t="s">
        <v>27</v>
      </c>
      <c r="B37" s="37" t="s">
        <v>199</v>
      </c>
      <c r="C37">
        <v>0.69441140000000001</v>
      </c>
      <c r="D37">
        <v>0.67877909999999997</v>
      </c>
      <c r="E37">
        <v>1.5632279999999998E-2</v>
      </c>
    </row>
    <row r="38" spans="1:5" x14ac:dyDescent="0.2">
      <c r="A38" s="37" t="s">
        <v>32</v>
      </c>
      <c r="B38" s="37" t="s">
        <v>230</v>
      </c>
      <c r="C38">
        <v>0.46822789999999997</v>
      </c>
      <c r="D38">
        <v>0.45269510000000002</v>
      </c>
      <c r="E38">
        <v>1.55328419E-2</v>
      </c>
    </row>
    <row r="39" spans="1:5" x14ac:dyDescent="0.2">
      <c r="A39" s="37" t="s">
        <v>19</v>
      </c>
      <c r="B39" s="37" t="s">
        <v>173</v>
      </c>
      <c r="C39">
        <v>0.68223959999999995</v>
      </c>
      <c r="D39">
        <v>0.66705919999999996</v>
      </c>
      <c r="E39">
        <v>1.51804408E-2</v>
      </c>
    </row>
    <row r="40" spans="1:5" x14ac:dyDescent="0.2">
      <c r="A40" s="37" t="s">
        <v>26</v>
      </c>
      <c r="B40" s="37" t="s">
        <v>194</v>
      </c>
      <c r="C40">
        <v>0.71161209999999997</v>
      </c>
      <c r="D40">
        <v>0.69652780000000003</v>
      </c>
      <c r="E40">
        <v>1.50842457E-2</v>
      </c>
    </row>
    <row r="41" spans="1:5" x14ac:dyDescent="0.2">
      <c r="A41" s="37" t="s">
        <v>28</v>
      </c>
      <c r="B41" s="37" t="s">
        <v>207</v>
      </c>
      <c r="C41">
        <v>0.76123200000000002</v>
      </c>
      <c r="D41">
        <v>0.74692389999999997</v>
      </c>
      <c r="E41">
        <v>1.4308131599999999E-2</v>
      </c>
    </row>
    <row r="42" spans="1:5" x14ac:dyDescent="0.2">
      <c r="A42" s="37" t="s">
        <v>15</v>
      </c>
      <c r="B42" s="37" t="s">
        <v>153</v>
      </c>
      <c r="C42">
        <v>0.60654070000000004</v>
      </c>
      <c r="D42">
        <v>0.59509369999999995</v>
      </c>
      <c r="E42">
        <v>1.14469441E-2</v>
      </c>
    </row>
    <row r="43" spans="1:5" x14ac:dyDescent="0.2">
      <c r="A43" s="37" t="s">
        <v>28</v>
      </c>
      <c r="B43" s="37" t="s">
        <v>205</v>
      </c>
      <c r="C43">
        <v>0.75835059999999999</v>
      </c>
      <c r="D43">
        <v>0.74692389999999997</v>
      </c>
      <c r="E43">
        <v>1.14267386E-2</v>
      </c>
    </row>
    <row r="44" spans="1:5" x14ac:dyDescent="0.2">
      <c r="A44" s="37" t="s">
        <v>20</v>
      </c>
      <c r="B44" s="37" t="s">
        <v>175</v>
      </c>
      <c r="C44">
        <v>0.66314689999999998</v>
      </c>
      <c r="D44">
        <v>0.65244829999999998</v>
      </c>
      <c r="E44">
        <v>1.0698587900000001E-2</v>
      </c>
    </row>
    <row r="45" spans="1:5" x14ac:dyDescent="0.2">
      <c r="A45" s="37" t="s">
        <v>17</v>
      </c>
      <c r="B45" s="37" t="s">
        <v>166</v>
      </c>
      <c r="C45">
        <v>0.70204630000000001</v>
      </c>
      <c r="D45">
        <v>0.69255940000000005</v>
      </c>
      <c r="E45">
        <v>9.4869658000000003E-3</v>
      </c>
    </row>
    <row r="46" spans="1:5" x14ac:dyDescent="0.2">
      <c r="A46" s="37" t="s">
        <v>23</v>
      </c>
      <c r="B46" s="37" t="s">
        <v>189</v>
      </c>
      <c r="C46">
        <v>0.66314689999999998</v>
      </c>
      <c r="D46">
        <v>0.65431090000000003</v>
      </c>
      <c r="E46">
        <v>8.8359466999999997E-3</v>
      </c>
    </row>
    <row r="47" spans="1:5" x14ac:dyDescent="0.2">
      <c r="A47" s="37" t="s">
        <v>20</v>
      </c>
      <c r="B47" s="37" t="s">
        <v>178</v>
      </c>
      <c r="C47">
        <v>0.66020990000000002</v>
      </c>
      <c r="D47">
        <v>0.65244829999999998</v>
      </c>
      <c r="E47">
        <v>7.7616298999999998E-3</v>
      </c>
    </row>
    <row r="48" spans="1:5" x14ac:dyDescent="0.2">
      <c r="A48" s="37" t="s">
        <v>28</v>
      </c>
      <c r="B48" s="37" t="s">
        <v>210</v>
      </c>
      <c r="C48">
        <v>0.75412279999999998</v>
      </c>
      <c r="D48">
        <v>0.74692389999999997</v>
      </c>
      <c r="E48">
        <v>7.1989332000000003E-3</v>
      </c>
    </row>
    <row r="49" spans="1:5" x14ac:dyDescent="0.2">
      <c r="A49" s="37" t="s">
        <v>26</v>
      </c>
      <c r="B49" s="37" t="s">
        <v>197</v>
      </c>
      <c r="C49">
        <v>0.70284440000000004</v>
      </c>
      <c r="D49">
        <v>0.69652780000000003</v>
      </c>
      <c r="E49">
        <v>6.3165271999999998E-3</v>
      </c>
    </row>
    <row r="50" spans="1:5" x14ac:dyDescent="0.2">
      <c r="A50" s="37" t="s">
        <v>26</v>
      </c>
      <c r="B50" s="37" t="s">
        <v>193</v>
      </c>
      <c r="C50">
        <v>0.70256359999999995</v>
      </c>
      <c r="D50">
        <v>0.69652780000000003</v>
      </c>
      <c r="E50">
        <v>6.0358091999999997E-3</v>
      </c>
    </row>
    <row r="51" spans="1:5" x14ac:dyDescent="0.2">
      <c r="A51" s="37" t="s">
        <v>134</v>
      </c>
      <c r="B51" s="37" t="s">
        <v>136</v>
      </c>
      <c r="C51">
        <v>0.64935949999999998</v>
      </c>
      <c r="D51">
        <v>0.6435263</v>
      </c>
      <c r="E51">
        <v>5.8332163999999997E-3</v>
      </c>
    </row>
    <row r="52" spans="1:5" x14ac:dyDescent="0.2">
      <c r="A52" s="37" t="s">
        <v>26</v>
      </c>
      <c r="B52" s="37" t="s">
        <v>196</v>
      </c>
      <c r="C52">
        <v>0.70182809999999995</v>
      </c>
      <c r="D52">
        <v>0.69652780000000003</v>
      </c>
      <c r="E52">
        <v>5.3002472000000002E-3</v>
      </c>
    </row>
    <row r="53" spans="1:5" x14ac:dyDescent="0.2">
      <c r="A53" s="37" t="s">
        <v>18</v>
      </c>
      <c r="B53" s="37" t="s">
        <v>169</v>
      </c>
      <c r="C53">
        <v>0.63415690000000002</v>
      </c>
      <c r="D53">
        <v>0.62885970000000002</v>
      </c>
      <c r="E53">
        <v>5.2972165000000002E-3</v>
      </c>
    </row>
    <row r="54" spans="1:5" x14ac:dyDescent="0.2">
      <c r="A54" s="37" t="s">
        <v>26</v>
      </c>
      <c r="B54" s="37" t="s">
        <v>195</v>
      </c>
      <c r="C54">
        <v>0.701353</v>
      </c>
      <c r="D54">
        <v>0.69652780000000003</v>
      </c>
      <c r="E54">
        <v>4.8251322000000003E-3</v>
      </c>
    </row>
    <row r="55" spans="1:5" x14ac:dyDescent="0.2">
      <c r="A55" s="37" t="s">
        <v>17</v>
      </c>
      <c r="B55" s="37" t="s">
        <v>165</v>
      </c>
      <c r="C55">
        <v>0.69609960000000004</v>
      </c>
      <c r="D55">
        <v>0.69255940000000005</v>
      </c>
      <c r="E55">
        <v>3.5402043E-3</v>
      </c>
    </row>
    <row r="56" spans="1:5" x14ac:dyDescent="0.2">
      <c r="A56" s="37" t="s">
        <v>29</v>
      </c>
      <c r="B56" s="37" t="s">
        <v>219</v>
      </c>
      <c r="C56">
        <v>0.66314689999999998</v>
      </c>
      <c r="D56">
        <v>0.66040390000000004</v>
      </c>
      <c r="E56">
        <v>2.7429204E-3</v>
      </c>
    </row>
    <row r="57" spans="1:5" x14ac:dyDescent="0.2">
      <c r="A57" s="37" t="s">
        <v>24</v>
      </c>
      <c r="B57" s="37" t="s">
        <v>84</v>
      </c>
      <c r="C57">
        <v>0.62574669999999999</v>
      </c>
      <c r="D57">
        <v>0.62395100000000003</v>
      </c>
      <c r="E57">
        <v>1.7956762E-3</v>
      </c>
    </row>
    <row r="58" spans="1:5" x14ac:dyDescent="0.2">
      <c r="A58" s="37" t="s">
        <v>13</v>
      </c>
      <c r="B58" s="37" t="s">
        <v>146</v>
      </c>
      <c r="C58">
        <v>0.63377110000000003</v>
      </c>
      <c r="D58">
        <v>0.63286370000000003</v>
      </c>
      <c r="E58">
        <v>9.0736780000000002E-4</v>
      </c>
    </row>
    <row r="59" spans="1:5" x14ac:dyDescent="0.2">
      <c r="A59" s="37" t="s">
        <v>29</v>
      </c>
      <c r="B59" s="37" t="s">
        <v>220</v>
      </c>
      <c r="C59">
        <v>0.65766100000000005</v>
      </c>
      <c r="D59">
        <v>0.66040390000000004</v>
      </c>
      <c r="E59">
        <v>-2.7429204E-3</v>
      </c>
    </row>
    <row r="60" spans="1:5" x14ac:dyDescent="0.2">
      <c r="A60" s="37" t="s">
        <v>15</v>
      </c>
      <c r="B60" s="37" t="s">
        <v>156</v>
      </c>
      <c r="C60">
        <v>0.59181680000000003</v>
      </c>
      <c r="D60">
        <v>0.59509369999999995</v>
      </c>
      <c r="E60">
        <v>-3.2769667999999999E-3</v>
      </c>
    </row>
    <row r="61" spans="1:5" x14ac:dyDescent="0.2">
      <c r="A61" s="37" t="s">
        <v>13</v>
      </c>
      <c r="B61" s="37" t="s">
        <v>145</v>
      </c>
      <c r="C61">
        <v>0.62929729999999995</v>
      </c>
      <c r="D61">
        <v>0.63286370000000003</v>
      </c>
      <c r="E61">
        <v>-3.5663655999999999E-3</v>
      </c>
    </row>
    <row r="62" spans="1:5" x14ac:dyDescent="0.2">
      <c r="A62" s="37" t="s">
        <v>30</v>
      </c>
      <c r="B62" s="37" t="s">
        <v>222</v>
      </c>
      <c r="C62">
        <v>0.69141149999999996</v>
      </c>
      <c r="D62">
        <v>0.69527890000000003</v>
      </c>
      <c r="E62">
        <v>-3.8674256000000001E-3</v>
      </c>
    </row>
    <row r="63" spans="1:5" x14ac:dyDescent="0.2">
      <c r="A63" s="37" t="s">
        <v>19</v>
      </c>
      <c r="B63" s="37" t="s">
        <v>172</v>
      </c>
      <c r="C63">
        <v>0.66314689999999998</v>
      </c>
      <c r="D63">
        <v>0.66705919999999996</v>
      </c>
      <c r="E63">
        <v>-3.9123361000000002E-3</v>
      </c>
    </row>
    <row r="64" spans="1:5" x14ac:dyDescent="0.2">
      <c r="A64" s="37" t="s">
        <v>26</v>
      </c>
      <c r="B64" s="37" t="s">
        <v>192</v>
      </c>
      <c r="C64">
        <v>0.69234689999999999</v>
      </c>
      <c r="D64">
        <v>0.69652780000000003</v>
      </c>
      <c r="E64">
        <v>-4.1809830999999997E-3</v>
      </c>
    </row>
    <row r="65" spans="1:5" x14ac:dyDescent="0.2">
      <c r="A65" s="37" t="s">
        <v>21</v>
      </c>
      <c r="B65" s="37" t="s">
        <v>183</v>
      </c>
      <c r="C65">
        <v>0.81741160000000002</v>
      </c>
      <c r="D65">
        <v>0.82261879999999998</v>
      </c>
      <c r="E65">
        <v>-5.2071579000000003E-3</v>
      </c>
    </row>
    <row r="66" spans="1:5" x14ac:dyDescent="0.2">
      <c r="A66" s="37" t="s">
        <v>28</v>
      </c>
      <c r="B66" s="37" t="s">
        <v>204</v>
      </c>
      <c r="C66">
        <v>0.74133009999999999</v>
      </c>
      <c r="D66">
        <v>0.74692389999999997</v>
      </c>
      <c r="E66">
        <v>-5.5937738000000001E-3</v>
      </c>
    </row>
    <row r="67" spans="1:5" x14ac:dyDescent="0.2">
      <c r="A67" s="37" t="s">
        <v>13</v>
      </c>
      <c r="B67" s="37" t="s">
        <v>144</v>
      </c>
      <c r="C67">
        <v>0.6254421</v>
      </c>
      <c r="D67">
        <v>0.63286370000000003</v>
      </c>
      <c r="E67">
        <v>-7.4215443000000001E-3</v>
      </c>
    </row>
    <row r="68" spans="1:5" x14ac:dyDescent="0.2">
      <c r="A68" s="37" t="s">
        <v>23</v>
      </c>
      <c r="B68" s="37" t="s">
        <v>190</v>
      </c>
      <c r="C68">
        <v>0.64547500000000002</v>
      </c>
      <c r="D68">
        <v>0.65431090000000003</v>
      </c>
      <c r="E68">
        <v>-8.8359466999999997E-3</v>
      </c>
    </row>
    <row r="69" spans="1:5" x14ac:dyDescent="0.2">
      <c r="A69" s="37" t="s">
        <v>13</v>
      </c>
      <c r="B69" s="37" t="s">
        <v>143</v>
      </c>
      <c r="C69">
        <v>0.62366200000000005</v>
      </c>
      <c r="D69">
        <v>0.63286370000000003</v>
      </c>
      <c r="E69">
        <v>-9.2016779999999996E-3</v>
      </c>
    </row>
    <row r="70" spans="1:5" x14ac:dyDescent="0.2">
      <c r="A70" s="37" t="s">
        <v>13</v>
      </c>
      <c r="B70" s="37" t="s">
        <v>139</v>
      </c>
      <c r="C70">
        <v>0.62360009999999999</v>
      </c>
      <c r="D70">
        <v>0.63286370000000003</v>
      </c>
      <c r="E70">
        <v>-9.2635813000000004E-3</v>
      </c>
    </row>
    <row r="71" spans="1:5" x14ac:dyDescent="0.2">
      <c r="A71" s="37" t="s">
        <v>28</v>
      </c>
      <c r="B71" s="37" t="s">
        <v>206</v>
      </c>
      <c r="C71">
        <v>0.73760239999999999</v>
      </c>
      <c r="D71">
        <v>0.74692389999999997</v>
      </c>
      <c r="E71">
        <v>-9.3215218999999992E-3</v>
      </c>
    </row>
    <row r="72" spans="1:5" x14ac:dyDescent="0.2">
      <c r="A72" s="37" t="s">
        <v>28</v>
      </c>
      <c r="B72" s="37" t="s">
        <v>212</v>
      </c>
      <c r="C72">
        <v>0.73730700000000005</v>
      </c>
      <c r="D72">
        <v>0.74692389999999997</v>
      </c>
      <c r="E72">
        <v>-9.6168565999999994E-3</v>
      </c>
    </row>
    <row r="73" spans="1:5" x14ac:dyDescent="0.2">
      <c r="A73" s="37" t="s">
        <v>18</v>
      </c>
      <c r="B73" s="37" t="s">
        <v>171</v>
      </c>
      <c r="C73">
        <v>0.61917040000000001</v>
      </c>
      <c r="D73">
        <v>0.62885970000000002</v>
      </c>
      <c r="E73">
        <v>-9.6893207000000002E-3</v>
      </c>
    </row>
    <row r="74" spans="1:5" x14ac:dyDescent="0.2">
      <c r="A74" s="37" t="s">
        <v>13</v>
      </c>
      <c r="B74" s="37" t="s">
        <v>142</v>
      </c>
      <c r="C74">
        <v>0.62236239999999998</v>
      </c>
      <c r="D74">
        <v>0.63286370000000003</v>
      </c>
      <c r="E74">
        <v>-1.05012584E-2</v>
      </c>
    </row>
    <row r="75" spans="1:5" x14ac:dyDescent="0.2">
      <c r="A75" s="37" t="s">
        <v>19</v>
      </c>
      <c r="B75" s="37" t="s">
        <v>174</v>
      </c>
      <c r="C75">
        <v>0.65579109999999996</v>
      </c>
      <c r="D75">
        <v>0.66705919999999996</v>
      </c>
      <c r="E75">
        <v>-1.12681047E-2</v>
      </c>
    </row>
    <row r="76" spans="1:5" x14ac:dyDescent="0.2">
      <c r="A76" s="37" t="s">
        <v>20</v>
      </c>
      <c r="B76" s="37" t="s">
        <v>177</v>
      </c>
      <c r="C76">
        <v>0.6371135</v>
      </c>
      <c r="D76">
        <v>0.65244829999999998</v>
      </c>
      <c r="E76">
        <v>-1.53347441E-2</v>
      </c>
    </row>
    <row r="77" spans="1:5" x14ac:dyDescent="0.2">
      <c r="A77" s="37" t="s">
        <v>27</v>
      </c>
      <c r="B77" s="37" t="s">
        <v>198</v>
      </c>
      <c r="C77">
        <v>0.66314689999999998</v>
      </c>
      <c r="D77">
        <v>0.67877909999999997</v>
      </c>
      <c r="E77">
        <v>-1.5632279999999998E-2</v>
      </c>
    </row>
    <row r="78" spans="1:5" x14ac:dyDescent="0.2">
      <c r="A78" s="37" t="s">
        <v>28</v>
      </c>
      <c r="B78" s="37" t="s">
        <v>214</v>
      </c>
      <c r="C78">
        <v>0.73123159999999998</v>
      </c>
      <c r="D78">
        <v>0.74692389999999997</v>
      </c>
      <c r="E78">
        <v>-1.5692305300000001E-2</v>
      </c>
    </row>
    <row r="79" spans="1:5" x14ac:dyDescent="0.2">
      <c r="A79" s="37" t="s">
        <v>14</v>
      </c>
      <c r="B79" s="37" t="s">
        <v>151</v>
      </c>
      <c r="C79">
        <v>0.63143470000000002</v>
      </c>
      <c r="D79">
        <v>0.64729080000000006</v>
      </c>
      <c r="E79">
        <v>-1.5856077400000002E-2</v>
      </c>
    </row>
    <row r="80" spans="1:5" x14ac:dyDescent="0.2">
      <c r="A80" s="37" t="s">
        <v>21</v>
      </c>
      <c r="B80" s="37" t="s">
        <v>188</v>
      </c>
      <c r="C80">
        <v>0.80665330000000002</v>
      </c>
      <c r="D80">
        <v>0.82261879999999998</v>
      </c>
      <c r="E80">
        <v>-1.5965486899999999E-2</v>
      </c>
    </row>
    <row r="81" spans="1:5" x14ac:dyDescent="0.2">
      <c r="A81" s="37" t="s">
        <v>16</v>
      </c>
      <c r="B81" s="37" t="s">
        <v>161</v>
      </c>
      <c r="C81">
        <v>0.66314689999999998</v>
      </c>
      <c r="D81">
        <v>0.67932930000000002</v>
      </c>
      <c r="E81">
        <v>-1.61824759E-2</v>
      </c>
    </row>
    <row r="82" spans="1:5" x14ac:dyDescent="0.2">
      <c r="A82" s="37" t="s">
        <v>28</v>
      </c>
      <c r="B82" s="37" t="s">
        <v>211</v>
      </c>
      <c r="C82">
        <v>0.72848259999999998</v>
      </c>
      <c r="D82">
        <v>0.74692389999999997</v>
      </c>
      <c r="E82">
        <v>-1.8441335E-2</v>
      </c>
    </row>
    <row r="83" spans="1:5" x14ac:dyDescent="0.2">
      <c r="A83" s="37" t="s">
        <v>17</v>
      </c>
      <c r="B83" s="37" t="s">
        <v>164</v>
      </c>
      <c r="C83">
        <v>0.6727708</v>
      </c>
      <c r="D83">
        <v>0.69255940000000005</v>
      </c>
      <c r="E83">
        <v>-1.9788616500000002E-2</v>
      </c>
    </row>
    <row r="84" spans="1:5" x14ac:dyDescent="0.2">
      <c r="A84" s="37" t="s">
        <v>30</v>
      </c>
      <c r="B84" s="37" t="s">
        <v>225</v>
      </c>
      <c r="C84">
        <v>0.6700313</v>
      </c>
      <c r="D84">
        <v>0.69527890000000003</v>
      </c>
      <c r="E84">
        <v>-2.5247587200000001E-2</v>
      </c>
    </row>
    <row r="85" spans="1:5" x14ac:dyDescent="0.2">
      <c r="A85" s="37" t="s">
        <v>134</v>
      </c>
      <c r="B85" s="37" t="s">
        <v>137</v>
      </c>
      <c r="C85">
        <v>0.61807259999999997</v>
      </c>
      <c r="D85">
        <v>0.6435263</v>
      </c>
      <c r="E85">
        <v>-2.54537588E-2</v>
      </c>
    </row>
    <row r="86" spans="1:5" x14ac:dyDescent="0.2">
      <c r="A86" s="37" t="s">
        <v>28</v>
      </c>
      <c r="B86" s="37" t="s">
        <v>203</v>
      </c>
      <c r="C86">
        <v>0.71987619999999997</v>
      </c>
      <c r="D86">
        <v>0.74692389999999997</v>
      </c>
      <c r="E86">
        <v>-2.7047723799999999E-2</v>
      </c>
    </row>
    <row r="87" spans="1:5" x14ac:dyDescent="0.2">
      <c r="A87" s="37" t="s">
        <v>25</v>
      </c>
      <c r="B87" s="37" t="s">
        <v>73</v>
      </c>
      <c r="C87">
        <v>0.52796200000000004</v>
      </c>
      <c r="D87">
        <v>0.55618469999999998</v>
      </c>
      <c r="E87">
        <v>-2.82226857E-2</v>
      </c>
    </row>
    <row r="88" spans="1:5" x14ac:dyDescent="0.2">
      <c r="A88" s="37" t="s">
        <v>17</v>
      </c>
      <c r="B88" s="37" t="s">
        <v>163</v>
      </c>
      <c r="C88">
        <v>0.66314689999999998</v>
      </c>
      <c r="D88">
        <v>0.69255940000000005</v>
      </c>
      <c r="E88">
        <v>-2.9412512599999999E-2</v>
      </c>
    </row>
    <row r="89" spans="1:5" x14ac:dyDescent="0.2">
      <c r="A89" s="37" t="s">
        <v>20</v>
      </c>
      <c r="B89" s="37" t="s">
        <v>176</v>
      </c>
      <c r="C89">
        <v>0.62281580000000003</v>
      </c>
      <c r="D89">
        <v>0.65244829999999998</v>
      </c>
      <c r="E89">
        <v>-2.9632425699999999E-2</v>
      </c>
    </row>
    <row r="90" spans="1:5" x14ac:dyDescent="0.2">
      <c r="A90" s="37" t="s">
        <v>18</v>
      </c>
      <c r="B90" s="37" t="s">
        <v>170</v>
      </c>
      <c r="C90">
        <v>0.59896459999999996</v>
      </c>
      <c r="D90">
        <v>0.62885970000000002</v>
      </c>
      <c r="E90">
        <v>-2.9895067500000001E-2</v>
      </c>
    </row>
    <row r="91" spans="1:5" x14ac:dyDescent="0.2">
      <c r="A91" s="37" t="s">
        <v>24</v>
      </c>
      <c r="B91" s="37" t="s">
        <v>80</v>
      </c>
      <c r="C91">
        <v>0.59403740000000005</v>
      </c>
      <c r="D91">
        <v>0.62395100000000003</v>
      </c>
      <c r="E91">
        <v>-2.9913545600000001E-2</v>
      </c>
    </row>
    <row r="92" spans="1:5" x14ac:dyDescent="0.2">
      <c r="A92" s="37" t="s">
        <v>24</v>
      </c>
      <c r="B92" s="37" t="s">
        <v>88</v>
      </c>
      <c r="C92">
        <v>0.59375239999999996</v>
      </c>
      <c r="D92">
        <v>0.62395100000000003</v>
      </c>
      <c r="E92">
        <v>-3.0198623099999999E-2</v>
      </c>
    </row>
    <row r="93" spans="1:5" x14ac:dyDescent="0.2">
      <c r="A93" s="37" t="s">
        <v>13</v>
      </c>
      <c r="B93" s="37" t="s">
        <v>141</v>
      </c>
      <c r="C93">
        <v>0.60212089999999996</v>
      </c>
      <c r="D93">
        <v>0.63286370000000003</v>
      </c>
      <c r="E93">
        <v>-3.07427477E-2</v>
      </c>
    </row>
    <row r="94" spans="1:5" x14ac:dyDescent="0.2">
      <c r="A94" s="37" t="s">
        <v>30</v>
      </c>
      <c r="B94" s="37" t="s">
        <v>221</v>
      </c>
      <c r="C94">
        <v>0.66314689999999998</v>
      </c>
      <c r="D94">
        <v>0.69527890000000003</v>
      </c>
      <c r="E94">
        <v>-3.2132049400000001E-2</v>
      </c>
    </row>
    <row r="95" spans="1:5" x14ac:dyDescent="0.2">
      <c r="A95" s="37" t="s">
        <v>26</v>
      </c>
      <c r="B95" s="37" t="s">
        <v>191</v>
      </c>
      <c r="C95">
        <v>0.66314689999999998</v>
      </c>
      <c r="D95">
        <v>0.69652780000000003</v>
      </c>
      <c r="E95">
        <v>-3.3380978200000001E-2</v>
      </c>
    </row>
    <row r="96" spans="1:5" x14ac:dyDescent="0.2">
      <c r="A96" s="37" t="s">
        <v>15</v>
      </c>
      <c r="B96" s="37" t="s">
        <v>158</v>
      </c>
      <c r="C96">
        <v>0.55723270000000003</v>
      </c>
      <c r="D96">
        <v>0.59509369999999995</v>
      </c>
      <c r="E96">
        <v>-3.7860993500000002E-2</v>
      </c>
    </row>
    <row r="97" spans="1:5" x14ac:dyDescent="0.2">
      <c r="A97" s="37" t="s">
        <v>15</v>
      </c>
      <c r="B97" s="37" t="s">
        <v>157</v>
      </c>
      <c r="C97">
        <v>0.5517782</v>
      </c>
      <c r="D97">
        <v>0.59509369999999995</v>
      </c>
      <c r="E97">
        <v>-4.3315508799999999E-2</v>
      </c>
    </row>
    <row r="98" spans="1:5" x14ac:dyDescent="0.2">
      <c r="A98" s="37" t="s">
        <v>15</v>
      </c>
      <c r="B98" s="37" t="s">
        <v>160</v>
      </c>
      <c r="C98">
        <v>0.55142190000000002</v>
      </c>
      <c r="D98">
        <v>0.59509369999999995</v>
      </c>
      <c r="E98">
        <v>-4.36718787E-2</v>
      </c>
    </row>
    <row r="99" spans="1:5" x14ac:dyDescent="0.2">
      <c r="A99" s="37" t="s">
        <v>3</v>
      </c>
      <c r="B99" s="37" t="s">
        <v>133</v>
      </c>
      <c r="C99">
        <v>0.59386660000000002</v>
      </c>
      <c r="D99">
        <v>0.6375653</v>
      </c>
      <c r="E99">
        <v>-4.3698708699999998E-2</v>
      </c>
    </row>
    <row r="100" spans="1:5" x14ac:dyDescent="0.2">
      <c r="A100" s="37" t="s">
        <v>15</v>
      </c>
      <c r="B100" s="37" t="s">
        <v>159</v>
      </c>
      <c r="C100">
        <v>0.54771139999999996</v>
      </c>
      <c r="D100">
        <v>0.59509369999999995</v>
      </c>
      <c r="E100">
        <v>-4.7382315600000002E-2</v>
      </c>
    </row>
    <row r="101" spans="1:5" x14ac:dyDescent="0.2">
      <c r="A101" s="37" t="s">
        <v>15</v>
      </c>
      <c r="B101" s="37" t="s">
        <v>155</v>
      </c>
      <c r="C101">
        <v>0.54659360000000001</v>
      </c>
      <c r="D101">
        <v>0.59509369999999995</v>
      </c>
      <c r="E101">
        <v>-4.8500116099999997E-2</v>
      </c>
    </row>
    <row r="102" spans="1:5" x14ac:dyDescent="0.2">
      <c r="A102" s="37" t="s">
        <v>28</v>
      </c>
      <c r="B102" s="37" t="s">
        <v>208</v>
      </c>
      <c r="C102">
        <v>0.69427329999999998</v>
      </c>
      <c r="D102">
        <v>0.74692389999999997</v>
      </c>
      <c r="E102">
        <v>-5.2650611799999997E-2</v>
      </c>
    </row>
    <row r="103" spans="1:5" x14ac:dyDescent="0.2">
      <c r="A103" s="37" t="s">
        <v>13</v>
      </c>
      <c r="B103" s="37" t="s">
        <v>140</v>
      </c>
      <c r="C103">
        <v>0.56127709999999997</v>
      </c>
      <c r="D103">
        <v>0.63286370000000003</v>
      </c>
      <c r="E103">
        <v>-7.1586579299999994E-2</v>
      </c>
    </row>
    <row r="104" spans="1:5" x14ac:dyDescent="0.2">
      <c r="A104" s="37" t="s">
        <v>25</v>
      </c>
      <c r="B104" s="37" t="s">
        <v>74</v>
      </c>
      <c r="C104">
        <v>0.47744530000000002</v>
      </c>
      <c r="D104">
        <v>0.55618469999999998</v>
      </c>
      <c r="E104">
        <v>-7.8739453000000001E-2</v>
      </c>
    </row>
    <row r="105" spans="1:5" x14ac:dyDescent="0.2">
      <c r="A105" s="37" t="s">
        <v>28</v>
      </c>
      <c r="B105" s="37" t="s">
        <v>218</v>
      </c>
      <c r="C105">
        <v>0.66781710000000005</v>
      </c>
      <c r="D105">
        <v>0.74692389999999997</v>
      </c>
      <c r="E105">
        <v>-7.9106763600000005E-2</v>
      </c>
    </row>
    <row r="106" spans="1:5" x14ac:dyDescent="0.2">
      <c r="A106" s="37" t="s">
        <v>28</v>
      </c>
      <c r="B106" s="37" t="s">
        <v>200</v>
      </c>
      <c r="C106">
        <v>0.66314689999999998</v>
      </c>
      <c r="D106">
        <v>0.74692389999999997</v>
      </c>
      <c r="E106">
        <v>-8.3777026199999993E-2</v>
      </c>
    </row>
    <row r="107" spans="1:5" x14ac:dyDescent="0.2">
      <c r="A107" s="37" t="s">
        <v>28</v>
      </c>
      <c r="B107" s="37" t="s">
        <v>202</v>
      </c>
      <c r="C107">
        <v>0.65924499999999997</v>
      </c>
      <c r="D107">
        <v>0.74692389999999997</v>
      </c>
      <c r="E107">
        <v>-8.7678921100000001E-2</v>
      </c>
    </row>
    <row r="108" spans="1:5" x14ac:dyDescent="0.2">
      <c r="A108" s="37" t="s">
        <v>32</v>
      </c>
      <c r="B108" s="37" t="s">
        <v>233</v>
      </c>
      <c r="C108">
        <v>0.32877200000000001</v>
      </c>
      <c r="D108">
        <v>0.45269510000000002</v>
      </c>
      <c r="E108">
        <v>-0.12392303039999999</v>
      </c>
    </row>
    <row r="109" spans="1:5" x14ac:dyDescent="0.2">
      <c r="A109" s="37" t="s">
        <v>21</v>
      </c>
      <c r="B109" s="37" t="s">
        <v>179</v>
      </c>
      <c r="C109">
        <v>0.66314689999999998</v>
      </c>
      <c r="D109">
        <v>0.82261879999999998</v>
      </c>
      <c r="E109">
        <v>-0.15947191359999999</v>
      </c>
    </row>
    <row r="110" spans="1:5" x14ac:dyDescent="0.2">
      <c r="A110" s="37" t="s">
        <v>21</v>
      </c>
      <c r="B110" s="37" t="s">
        <v>182</v>
      </c>
      <c r="C110">
        <v>0.65620780000000001</v>
      </c>
      <c r="D110">
        <v>0.82261879999999998</v>
      </c>
      <c r="E110">
        <v>-0.16641092939999999</v>
      </c>
    </row>
    <row r="111" spans="1:5" x14ac:dyDescent="0.2">
      <c r="A111" s="37" t="s">
        <v>32</v>
      </c>
      <c r="B111" s="37" t="s">
        <v>231</v>
      </c>
      <c r="C111">
        <v>0.24570829999999999</v>
      </c>
      <c r="D111">
        <v>0.45269510000000002</v>
      </c>
      <c r="E111">
        <v>-0.2069867346</v>
      </c>
    </row>
    <row r="112" spans="1:5" x14ac:dyDescent="0.2">
      <c r="A112" s="37" t="s">
        <v>32</v>
      </c>
      <c r="B112" s="37" t="s">
        <v>232</v>
      </c>
      <c r="C112">
        <v>0.18046880000000001</v>
      </c>
      <c r="D112">
        <v>0.45269510000000002</v>
      </c>
      <c r="E112">
        <v>-0.27222628539999999</v>
      </c>
    </row>
  </sheetData>
  <conditionalFormatting sqref="E1:E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23E2B-540E-B040-81A0-949F8DAD5194}">
  <dimension ref="A1"/>
  <sheetViews>
    <sheetView workbookViewId="0">
      <selection activeCell="B3" sqref="B3"/>
    </sheetView>
  </sheetViews>
  <sheetFormatPr baseColWidth="10" defaultRowHeight="16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7DAF2F-CEE4-1F4E-8F2E-CF67128AA3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Columns</vt:lpstr>
      <vt:lpstr>Success</vt:lpstr>
      <vt:lpstr>FreqRoute</vt:lpstr>
      <vt:lpstr>all_probs_mean_diff</vt:lpstr>
      <vt:lpstr>GLM 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Macsen Higgins</dc:creator>
  <cp:lastModifiedBy>Macsen Higgins</cp:lastModifiedBy>
  <dcterms:created xsi:type="dcterms:W3CDTF">2026-04-09T15:00:48Z</dcterms:created>
  <dcterms:modified xsi:type="dcterms:W3CDTF">2026-04-13T18:39:52Z</dcterms:modified>
</cp:coreProperties>
</file>