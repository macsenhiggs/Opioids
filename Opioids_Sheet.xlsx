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senhiggins/R_Studio/Opioids/"/>
    </mc:Choice>
  </mc:AlternateContent>
  <xr:revisionPtr revIDLastSave="0" documentId="13_ncr:1_{4FB77006-94AC-2A49-B5DC-81A7F74EC93E}" xr6:coauthVersionLast="47" xr6:coauthVersionMax="47" xr10:uidLastSave="{00000000-0000-0000-0000-000000000000}"/>
  <bookViews>
    <workbookView xWindow="680" yWindow="680" windowWidth="28040" windowHeight="16640" activeTab="2" xr2:uid="{36569209-AD7C-4E4F-A355-609CFF171EAD}"/>
  </bookViews>
  <sheets>
    <sheet name="Columns" sheetId="1" r:id="rId1"/>
    <sheet name="Success" sheetId="2" r:id="rId2"/>
    <sheet name="FreqRoute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<sst xmlns="http://schemas.openxmlformats.org/spreadsheetml/2006/main" count="150" uniqueCount="128">
  <si>
    <t>Filtering Columns</t>
  </si>
  <si>
    <t>Meaning</t>
  </si>
  <si>
    <t>Column Name</t>
  </si>
  <si>
    <t>SUB1</t>
  </si>
  <si>
    <t>SUB2</t>
  </si>
  <si>
    <t>SUB3</t>
  </si>
  <si>
    <t>HERLFG</t>
  </si>
  <si>
    <t>METHFLG</t>
  </si>
  <si>
    <t>OPSYNFLG</t>
  </si>
  <si>
    <t>Demographic Columns</t>
  </si>
  <si>
    <t>Primary Substance Used</t>
  </si>
  <si>
    <t>Secondary Substance Used</t>
  </si>
  <si>
    <t>Tertiary Substance Used</t>
  </si>
  <si>
    <t>AGE</t>
  </si>
  <si>
    <t>SEX</t>
  </si>
  <si>
    <t>RACE</t>
  </si>
  <si>
    <t>ETHNIC</t>
  </si>
  <si>
    <t>EDUC</t>
  </si>
  <si>
    <t>EMPLOY</t>
  </si>
  <si>
    <t>LIVARAG</t>
  </si>
  <si>
    <t>PRIMINC</t>
  </si>
  <si>
    <t>DIVISION</t>
  </si>
  <si>
    <t>Usage Columns</t>
  </si>
  <si>
    <t>NOPRIOR</t>
  </si>
  <si>
    <t>ROUTE1</t>
  </si>
  <si>
    <t>FREQ1</t>
  </si>
  <si>
    <t>FRSTUSE1</t>
  </si>
  <si>
    <t>ALCDRUG</t>
  </si>
  <si>
    <t>DSMCRIT</t>
  </si>
  <si>
    <t>PSYPROB</t>
  </si>
  <si>
    <t>FREQ_ATND_SELF_HELP</t>
  </si>
  <si>
    <t>Treatment Columns</t>
  </si>
  <si>
    <t>SERVICES</t>
  </si>
  <si>
    <t>METHUSE</t>
  </si>
  <si>
    <t>LOS</t>
  </si>
  <si>
    <t>FREQ_ATND_SELF_HELP_D</t>
  </si>
  <si>
    <t>Primary Source of Income</t>
  </si>
  <si>
    <t>Previous Substance Abuse Treatment</t>
  </si>
  <si>
    <t>Primary Substance Route of Administration</t>
  </si>
  <si>
    <t>Primary Substance Frequency of Use</t>
  </si>
  <si>
    <t>Age Group at First Use of Primary Substance</t>
  </si>
  <si>
    <t>Substance Use Type (Alcohol and/or Drugs)</t>
  </si>
  <si>
    <t>DSM dependence diagnosis upon arrival</t>
  </si>
  <si>
    <t>Co-occurring Mental and Substance Use Disorders</t>
  </si>
  <si>
    <t>Type of Treatment Service/Setting at Admission</t>
  </si>
  <si>
    <t>Medication-Assisted Opioid Therapy</t>
  </si>
  <si>
    <t>Length of Stay, Grouped After 30 Days</t>
  </si>
  <si>
    <t>Recent Attendance of Self-Help Groups</t>
  </si>
  <si>
    <t>Recent Attendance of Self-Help Groups at Discharge</t>
  </si>
  <si>
    <t>Age Group</t>
  </si>
  <si>
    <t>Sex</t>
  </si>
  <si>
    <t>Race</t>
  </si>
  <si>
    <t>Ethnicity</t>
  </si>
  <si>
    <t xml:space="preserve">Education Level </t>
  </si>
  <si>
    <t>Employment Status</t>
  </si>
  <si>
    <t>Living Arrangements</t>
  </si>
  <si>
    <t>Census Division Based on State</t>
  </si>
  <si>
    <t>How do we Determine Treatment Success?</t>
  </si>
  <si>
    <t>Outcome</t>
  </si>
  <si>
    <t>Success Value</t>
  </si>
  <si>
    <t>Proportion</t>
  </si>
  <si>
    <t>Treatment Completed</t>
  </si>
  <si>
    <t>Dropped Out Of Treatment</t>
  </si>
  <si>
    <t>Terminated by Facility</t>
  </si>
  <si>
    <t>Transferred to Other Program/Facility</t>
  </si>
  <si>
    <t>NA</t>
  </si>
  <si>
    <t>Incarcerated</t>
  </si>
  <si>
    <t>Death</t>
  </si>
  <si>
    <t>Other</t>
  </si>
  <si>
    <t>Heroin Reported at Admission</t>
  </si>
  <si>
    <t>Methadones Reported at Admission</t>
  </si>
  <si>
    <t>Opioids/Synthetics Reported at Admission</t>
  </si>
  <si>
    <t>No use in the past month</t>
  </si>
  <si>
    <t>Some use</t>
  </si>
  <si>
    <t>Daily use</t>
  </si>
  <si>
    <t>Heroin</t>
  </si>
  <si>
    <t>Oral</t>
  </si>
  <si>
    <t>-0.083 (n=190)</t>
  </si>
  <si>
    <t>-0.119 (n=115)</t>
  </si>
  <si>
    <t>-0.091 (n=347)</t>
  </si>
  <si>
    <t>Smoking</t>
  </si>
  <si>
    <t>-0.015 (n=1241)</t>
  </si>
  <si>
    <t>-0.069 (n=1019)</t>
  </si>
  <si>
    <t>-0.109 (n=3119)</t>
  </si>
  <si>
    <t>Inhalation</t>
  </si>
  <si>
    <t>-0.06 (n=4367)</t>
  </si>
  <si>
    <t>-0.069 (n=2902)</t>
  </si>
  <si>
    <t>-0.1 (n=14780)</t>
  </si>
  <si>
    <t>Injection</t>
  </si>
  <si>
    <t>-0.036 (n=7623)</t>
  </si>
  <si>
    <t>-0.056 (n=3365)</t>
  </si>
  <si>
    <t>-0.085 (n=16685)</t>
  </si>
  <si>
    <t>-0.17 (n=117)</t>
  </si>
  <si>
    <t>-0.164 (n=60)</t>
  </si>
  <si>
    <t>-0.094 (n=285)</t>
  </si>
  <si>
    <t>-0.107 (n=47)</t>
  </si>
  <si>
    <t>-0.122 (n=53)</t>
  </si>
  <si>
    <t>-0.082 (n=178)</t>
  </si>
  <si>
    <t>-0.275 (n=2)</t>
  </si>
  <si>
    <t>-0.376 (n=2)</t>
  </si>
  <si>
    <t>-0.032 (n=8)</t>
  </si>
  <si>
    <t>-0.086 (n=5)</t>
  </si>
  <si>
    <t>0.662 (n=1)</t>
  </si>
  <si>
    <t>-0.196 (n=6)</t>
  </si>
  <si>
    <t>-0.059 (n=7)</t>
  </si>
  <si>
    <t>-0.103 (n=5)</t>
  </si>
  <si>
    <t>-0.205 (n=8)</t>
  </si>
  <si>
    <t>0.559 (n=1)</t>
  </si>
  <si>
    <t>0.468 (n=1)</t>
  </si>
  <si>
    <t>0.663 (n=1)</t>
  </si>
  <si>
    <t>Non-perscription methadones</t>
  </si>
  <si>
    <t>-0.105 (n=2971)</t>
  </si>
  <si>
    <t>-0.116 (n=1663)</t>
  </si>
  <si>
    <t>-0.065 (n=4698)</t>
  </si>
  <si>
    <t>-0.096 (n=1169)</t>
  </si>
  <si>
    <t>-0.172 (n=2154)</t>
  </si>
  <si>
    <t>-0.158 (n=5360)</t>
  </si>
  <si>
    <t>-0.112 (n=1244)</t>
  </si>
  <si>
    <t>-0.113 (n=1188)</t>
  </si>
  <si>
    <t>-0.083 (n=3812)</t>
  </si>
  <si>
    <t>-0.106 (n=1038)</t>
  </si>
  <si>
    <t>-0.066 (n=688)</t>
  </si>
  <si>
    <t>-0.083 (n=2929)</t>
  </si>
  <si>
    <t>-0.213 (n=79)</t>
  </si>
  <si>
    <t>-0.24 (n=31)</t>
  </si>
  <si>
    <t>-0.167 (n=161)</t>
  </si>
  <si>
    <t>Other opiates and synthetics</t>
  </si>
  <si>
    <t xml:space="preserve">
ROUTE1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</si>
</sst>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%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12"/>
      <color theme="1"/>
      <name val="Aptos Narrow"/>
      <scheme val="minor"/>
    </font>
    <font>
      <b/>
      <sz val="11"/>
      <color rgb="FF000000"/>
      <name val="Lucida Grande"/>
      <family val="2"/>
    </font>
    <font>
      <sz val="11"/>
      <color theme="1"/>
      <name val="Lucida Grande"/>
      <family val="2"/>
    </font>
    <font>
      <sz val="11"/>
      <color rgb="FF000000"/>
      <name val="Lucida Grande"/>
      <family val="2"/>
    </font>
    <font>
      <b/>
      <sz val="11"/>
      <color theme="1"/>
      <name val="Lucida Grande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E79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Fill="1"/>
    <xf numFmtId="0" fontId="3" fillId="5" borderId="0" xfId="0" applyFont="1" applyFill="1"/>
    <xf numFmtId="0" fontId="0" fillId="5" borderId="0" xfId="0" applyFill="1"/>
    <xf numFmtId="0" fontId="0" fillId="0" borderId="0" xfId="0" quotePrefix="1"/>
    <xf numFmtId="168" fontId="0" fillId="0" borderId="0" xfId="1" applyNumberFormat="1" applyFont="1"/>
    <xf numFmtId="10" fontId="0" fillId="0" borderId="0" xfId="1" applyNumberFormat="1" applyFont="1"/>
    <xf numFmtId="0" fontId="0" fillId="6" borderId="0" xfId="0" applyFill="1" applyBorder="1" applyAlignment="1">
      <alignment horizontal="center"/>
    </xf>
    <xf numFmtId="0" fontId="0" fillId="7" borderId="0" xfId="0" applyFill="1" applyBorder="1" applyAlignment="1">
      <alignment horizontal="center"/>
    </xf>
    <xf numFmtId="0" fontId="0" fillId="8" borderId="0" xfId="0" applyFill="1" applyBorder="1" applyAlignment="1">
      <alignment horizontal="center"/>
    </xf>
    <xf numFmtId="0" fontId="0" fillId="7" borderId="4" xfId="0" applyFill="1" applyBorder="1"/>
    <xf numFmtId="10" fontId="0" fillId="7" borderId="5" xfId="1" applyNumberFormat="1" applyFont="1" applyFill="1" applyBorder="1"/>
    <xf numFmtId="0" fontId="0" fillId="8" borderId="4" xfId="0" applyFill="1" applyBorder="1"/>
    <xf numFmtId="10" fontId="0" fillId="8" borderId="5" xfId="1" applyNumberFormat="1" applyFont="1" applyFill="1" applyBorder="1"/>
    <xf numFmtId="0" fontId="0" fillId="8" borderId="6" xfId="0" applyFill="1" applyBorder="1"/>
    <xf numFmtId="0" fontId="0" fillId="8" borderId="7" xfId="0" applyFill="1" applyBorder="1" applyAlignment="1">
      <alignment horizontal="center"/>
    </xf>
    <xf numFmtId="10" fontId="0" fillId="8" borderId="8" xfId="1" applyNumberFormat="1" applyFont="1" applyFill="1" applyBorder="1"/>
    <xf numFmtId="0" fontId="2" fillId="0" borderId="1" xfId="0" applyFont="1" applyBorder="1"/>
    <xf numFmtId="0" fontId="2" fillId="0" borderId="2" xfId="0" applyFont="1" applyBorder="1"/>
    <xf numFmtId="10" fontId="2" fillId="0" borderId="3" xfId="1" applyNumberFormat="1" applyFont="1" applyBorder="1"/>
    <xf numFmtId="0" fontId="0" fillId="6" borderId="4" xfId="0" applyFill="1" applyBorder="1"/>
    <xf numFmtId="10" fontId="0" fillId="6" borderId="5" xfId="1" applyNumberFormat="1" applyFont="1" applyFill="1" applyBorder="1"/>
    <xf numFmtId="0" fontId="2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10" fontId="4" fillId="0" borderId="0" xfId="1" applyNumberFormat="1" applyFont="1" applyAlignment="1">
      <alignment horizontal="centerContinuous"/>
    </xf>
    <xf numFmtId="0" fontId="5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/>
    <xf numFmtId="0" fontId="5" fillId="0" borderId="0" xfId="0" applyFont="1" applyAlignment="1">
      <alignment wrapText="1"/>
    </xf>
    <xf numFmtId="0" fontId="7" fillId="0" borderId="0" xfId="0" applyFont="1"/>
    <xf numFmtId="0" fontId="8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DE67-2766-F94D-803B-3DD5B11E6450}">
  <dimension ref="B2:L30"/>
  <sheetViews>
    <sheetView zoomScale="84" zoomScaleNormal="161" workbookViewId="0">
      <selection activeCell="G21" sqref="G21"/>
    </sheetView>
  </sheetViews>
  <sheetFormatPr baseColWidth="10" defaultRowHeight="16" x14ac:dyDescent="0.2"/>
  <cols>
    <col min="2" max="2" width="19" customWidth="1"/>
    <col min="4" max="4" width="23" customWidth="1"/>
    <col min="5" max="5" width="42.83203125" customWidth="1"/>
    <col min="9" max="9" width="31" customWidth="1"/>
    <col min="10" max="10" width="13.1640625" customWidth="1"/>
    <col min="11" max="11" width="12" style="10" customWidth="1"/>
    <col min="12" max="12" width="10.83203125" style="9"/>
    <col min="15" max="16" width="10.83203125" customWidth="1"/>
    <col min="17" max="17" width="16.33203125" customWidth="1"/>
    <col min="18" max="18" width="16.5" customWidth="1"/>
    <col min="19" max="19" width="18" customWidth="1"/>
  </cols>
  <sheetData>
    <row r="2" spans="2:5" x14ac:dyDescent="0.2">
      <c r="D2" s="1" t="s">
        <v>2</v>
      </c>
      <c r="E2" s="1" t="s">
        <v>1</v>
      </c>
    </row>
    <row r="3" spans="2:5" x14ac:dyDescent="0.2">
      <c r="D3" s="2" t="s">
        <v>3</v>
      </c>
      <c r="E3" t="s">
        <v>10</v>
      </c>
    </row>
    <row r="4" spans="2:5" x14ac:dyDescent="0.2">
      <c r="B4" s="2" t="s">
        <v>0</v>
      </c>
      <c r="D4" s="2" t="s">
        <v>4</v>
      </c>
      <c r="E4" t="s">
        <v>11</v>
      </c>
    </row>
    <row r="5" spans="2:5" x14ac:dyDescent="0.2">
      <c r="B5" s="3" t="s">
        <v>9</v>
      </c>
      <c r="D5" s="2" t="s">
        <v>5</v>
      </c>
      <c r="E5" t="s">
        <v>12</v>
      </c>
    </row>
    <row r="6" spans="2:5" x14ac:dyDescent="0.2">
      <c r="B6" s="4" t="s">
        <v>22</v>
      </c>
      <c r="D6" s="2" t="s">
        <v>6</v>
      </c>
      <c r="E6" t="s">
        <v>69</v>
      </c>
    </row>
    <row r="7" spans="2:5" ht="16" customHeight="1" x14ac:dyDescent="0.2">
      <c r="D7" s="2" t="s">
        <v>7</v>
      </c>
      <c r="E7" t="s">
        <v>70</v>
      </c>
    </row>
    <row r="8" spans="2:5" x14ac:dyDescent="0.2">
      <c r="B8" s="6" t="s">
        <v>31</v>
      </c>
      <c r="D8" s="2" t="s">
        <v>8</v>
      </c>
      <c r="E8" t="s">
        <v>71</v>
      </c>
    </row>
    <row r="9" spans="2:5" x14ac:dyDescent="0.2">
      <c r="D9" s="3" t="s">
        <v>13</v>
      </c>
      <c r="E9" t="s">
        <v>49</v>
      </c>
    </row>
    <row r="10" spans="2:5" x14ac:dyDescent="0.2">
      <c r="D10" s="3" t="s">
        <v>14</v>
      </c>
      <c r="E10" t="s">
        <v>50</v>
      </c>
    </row>
    <row r="11" spans="2:5" x14ac:dyDescent="0.2">
      <c r="D11" s="3" t="s">
        <v>15</v>
      </c>
      <c r="E11" t="s">
        <v>51</v>
      </c>
    </row>
    <row r="12" spans="2:5" x14ac:dyDescent="0.2">
      <c r="D12" s="3" t="s">
        <v>16</v>
      </c>
      <c r="E12" t="s">
        <v>52</v>
      </c>
    </row>
    <row r="13" spans="2:5" x14ac:dyDescent="0.2">
      <c r="D13" s="3" t="s">
        <v>17</v>
      </c>
      <c r="E13" t="s">
        <v>53</v>
      </c>
    </row>
    <row r="14" spans="2:5" x14ac:dyDescent="0.2">
      <c r="D14" s="3" t="s">
        <v>18</v>
      </c>
      <c r="E14" t="s">
        <v>54</v>
      </c>
    </row>
    <row r="15" spans="2:5" x14ac:dyDescent="0.2">
      <c r="D15" s="3" t="s">
        <v>19</v>
      </c>
      <c r="E15" t="s">
        <v>55</v>
      </c>
    </row>
    <row r="16" spans="2:5" x14ac:dyDescent="0.2">
      <c r="D16" s="3" t="s">
        <v>20</v>
      </c>
      <c r="E16" s="8" t="s">
        <v>36</v>
      </c>
    </row>
    <row r="17" spans="4:5" ht="16" customHeight="1" x14ac:dyDescent="0.2">
      <c r="D17" s="3" t="s">
        <v>21</v>
      </c>
      <c r="E17" s="8" t="s">
        <v>56</v>
      </c>
    </row>
    <row r="18" spans="4:5" x14ac:dyDescent="0.2">
      <c r="D18" s="4" t="s">
        <v>23</v>
      </c>
      <c r="E18" t="s">
        <v>37</v>
      </c>
    </row>
    <row r="19" spans="4:5" x14ac:dyDescent="0.2">
      <c r="D19" s="4" t="s">
        <v>24</v>
      </c>
      <c r="E19" t="s">
        <v>38</v>
      </c>
    </row>
    <row r="20" spans="4:5" x14ac:dyDescent="0.2">
      <c r="D20" s="4" t="s">
        <v>25</v>
      </c>
      <c r="E20" t="s">
        <v>39</v>
      </c>
    </row>
    <row r="21" spans="4:5" x14ac:dyDescent="0.2">
      <c r="D21" s="4" t="s">
        <v>26</v>
      </c>
      <c r="E21" t="s">
        <v>40</v>
      </c>
    </row>
    <row r="22" spans="4:5" x14ac:dyDescent="0.2">
      <c r="D22" s="4" t="s">
        <v>27</v>
      </c>
      <c r="E22" t="s">
        <v>41</v>
      </c>
    </row>
    <row r="23" spans="4:5" x14ac:dyDescent="0.2">
      <c r="D23" s="4" t="s">
        <v>28</v>
      </c>
      <c r="E23" t="s">
        <v>42</v>
      </c>
    </row>
    <row r="24" spans="4:5" x14ac:dyDescent="0.2">
      <c r="D24" s="4" t="s">
        <v>29</v>
      </c>
      <c r="E24" t="s">
        <v>43</v>
      </c>
    </row>
    <row r="25" spans="4:5" ht="16" customHeight="1" x14ac:dyDescent="0.2">
      <c r="D25" s="4" t="s">
        <v>30</v>
      </c>
      <c r="E25" t="s">
        <v>47</v>
      </c>
    </row>
    <row r="26" spans="4:5" x14ac:dyDescent="0.2">
      <c r="D26" s="4" t="s">
        <v>32</v>
      </c>
      <c r="E26" s="5" t="s">
        <v>44</v>
      </c>
    </row>
    <row r="28" spans="4:5" x14ac:dyDescent="0.2">
      <c r="D28" s="7" t="s">
        <v>33</v>
      </c>
      <c r="E28" t="s">
        <v>45</v>
      </c>
    </row>
    <row r="29" spans="4:5" x14ac:dyDescent="0.2">
      <c r="D29" s="7" t="s">
        <v>34</v>
      </c>
      <c r="E29" t="s">
        <v>46</v>
      </c>
    </row>
    <row r="30" spans="4:5" x14ac:dyDescent="0.2">
      <c r="D30" s="7" t="s">
        <v>35</v>
      </c>
      <c r="E30" t="s">
        <v>48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4A90D-9177-8143-B5FC-8BD5604E63C3}">
  <dimension ref="B3:D14"/>
  <sheetViews>
    <sheetView workbookViewId="0">
      <selection activeCell="B18" sqref="B18"/>
    </sheetView>
  </sheetViews>
  <sheetFormatPr baseColWidth="10" defaultRowHeight="16" x14ac:dyDescent="0.2"/>
  <cols>
    <col min="2" max="2" width="30.83203125" customWidth="1"/>
  </cols>
  <sheetData>
    <row r="3" spans="2:4" ht="17" thickBot="1" x14ac:dyDescent="0.25">
      <c r="B3" s="26" t="s">
        <v>57</v>
      </c>
      <c r="C3" s="27"/>
      <c r="D3" s="28"/>
    </row>
    <row r="4" spans="2:4" x14ac:dyDescent="0.2">
      <c r="B4" s="21" t="s">
        <v>58</v>
      </c>
      <c r="C4" s="22" t="s">
        <v>59</v>
      </c>
      <c r="D4" s="23" t="s">
        <v>60</v>
      </c>
    </row>
    <row r="5" spans="2:4" x14ac:dyDescent="0.2">
      <c r="B5" s="24" t="s">
        <v>61</v>
      </c>
      <c r="C5" s="11">
        <v>1</v>
      </c>
      <c r="D5" s="25">
        <v>0.23702395500000001</v>
      </c>
    </row>
    <row r="6" spans="2:4" x14ac:dyDescent="0.2">
      <c r="B6" s="14" t="s">
        <v>62</v>
      </c>
      <c r="C6" s="12">
        <v>0</v>
      </c>
      <c r="D6" s="15">
        <v>0.242893678</v>
      </c>
    </row>
    <row r="7" spans="2:4" x14ac:dyDescent="0.2">
      <c r="B7" s="14" t="s">
        <v>63</v>
      </c>
      <c r="C7" s="12">
        <v>0</v>
      </c>
      <c r="D7" s="15">
        <v>4.1317671E-2</v>
      </c>
    </row>
    <row r="8" spans="2:4" x14ac:dyDescent="0.2">
      <c r="B8" s="16" t="s">
        <v>64</v>
      </c>
      <c r="C8" s="13" t="s">
        <v>65</v>
      </c>
      <c r="D8" s="17">
        <v>0.41141799099999998</v>
      </c>
    </row>
    <row r="9" spans="2:4" x14ac:dyDescent="0.2">
      <c r="B9" s="16" t="s">
        <v>66</v>
      </c>
      <c r="C9" s="13" t="s">
        <v>65</v>
      </c>
      <c r="D9" s="17">
        <v>1.1319308E-2</v>
      </c>
    </row>
    <row r="10" spans="2:4" x14ac:dyDescent="0.2">
      <c r="B10" s="16" t="s">
        <v>67</v>
      </c>
      <c r="C10" s="13" t="s">
        <v>65</v>
      </c>
      <c r="D10" s="17">
        <v>5.4837820000000004E-3</v>
      </c>
    </row>
    <row r="11" spans="2:4" ht="17" thickBot="1" x14ac:dyDescent="0.25">
      <c r="B11" s="18" t="s">
        <v>68</v>
      </c>
      <c r="C11" s="19" t="s">
        <v>65</v>
      </c>
      <c r="D11" s="20">
        <v>5.0543615E-2</v>
      </c>
    </row>
    <row r="12" spans="2:4" x14ac:dyDescent="0.2">
      <c r="D12" s="10"/>
    </row>
    <row r="13" spans="2:4" x14ac:dyDescent="0.2">
      <c r="D13" s="10"/>
    </row>
    <row r="14" spans="2:4" x14ac:dyDescent="0.2">
      <c r="D14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EE6BD-68F2-F74E-B85B-9CCD81393AF1}">
  <dimension ref="D8:I32"/>
  <sheetViews>
    <sheetView tabSelected="1" workbookViewId="0">
      <selection activeCell="C28" sqref="C28"/>
    </sheetView>
  </sheetViews>
  <sheetFormatPr baseColWidth="10" defaultRowHeight="16" x14ac:dyDescent="0.2"/>
  <cols>
    <col min="6" max="6" width="13.5" customWidth="1"/>
  </cols>
  <sheetData>
    <row r="8" spans="4:9" x14ac:dyDescent="0.2">
      <c r="F8" s="1" t="s">
        <v>75</v>
      </c>
    </row>
    <row r="9" spans="4:9" x14ac:dyDescent="0.2">
      <c r="E9" s="32" t="s">
        <v>127</v>
      </c>
      <c r="F9" s="32" t="s">
        <v>72</v>
      </c>
      <c r="G9" s="33" t="s">
        <v>73</v>
      </c>
      <c r="H9" s="30" t="s">
        <v>74</v>
      </c>
      <c r="I9" s="29"/>
    </row>
    <row r="10" spans="4:9" x14ac:dyDescent="0.2">
      <c r="D10" s="29"/>
      <c r="E10" s="30"/>
      <c r="F10" s="32"/>
      <c r="G10" s="33"/>
      <c r="H10" s="30"/>
    </row>
    <row r="11" spans="4:9" x14ac:dyDescent="0.2">
      <c r="D11" s="31"/>
      <c r="E11" s="35" t="s">
        <v>76</v>
      </c>
      <c r="F11" s="35" t="s">
        <v>77</v>
      </c>
      <c r="G11" s="35" t="s">
        <v>78</v>
      </c>
      <c r="H11" s="35" t="s">
        <v>79</v>
      </c>
    </row>
    <row r="12" spans="4:9" x14ac:dyDescent="0.2">
      <c r="D12" s="31"/>
      <c r="E12" s="31" t="s">
        <v>80</v>
      </c>
      <c r="F12" s="31" t="s">
        <v>81</v>
      </c>
      <c r="G12" s="31" t="s">
        <v>82</v>
      </c>
      <c r="H12" s="31" t="s">
        <v>83</v>
      </c>
    </row>
    <row r="13" spans="4:9" x14ac:dyDescent="0.2">
      <c r="D13" s="31"/>
      <c r="E13" s="31" t="s">
        <v>84</v>
      </c>
      <c r="F13" s="31" t="s">
        <v>85</v>
      </c>
      <c r="G13" s="31" t="s">
        <v>86</v>
      </c>
      <c r="H13" s="31" t="s">
        <v>87</v>
      </c>
    </row>
    <row r="14" spans="4:9" x14ac:dyDescent="0.2">
      <c r="D14" s="31"/>
      <c r="E14" s="31" t="s">
        <v>88</v>
      </c>
      <c r="F14" s="31" t="s">
        <v>89</v>
      </c>
      <c r="G14" s="31" t="s">
        <v>90</v>
      </c>
      <c r="H14" s="31" t="s">
        <v>91</v>
      </c>
    </row>
    <row r="15" spans="4:9" x14ac:dyDescent="0.2">
      <c r="E15" s="31" t="s">
        <v>68</v>
      </c>
      <c r="F15" s="31" t="s">
        <v>92</v>
      </c>
      <c r="G15" s="31" t="s">
        <v>93</v>
      </c>
      <c r="H15" s="31" t="s">
        <v>94</v>
      </c>
    </row>
    <row r="18" spans="5:8" x14ac:dyDescent="0.2">
      <c r="F18" s="1" t="s">
        <v>110</v>
      </c>
    </row>
    <row r="19" spans="5:8" ht="46" x14ac:dyDescent="0.2">
      <c r="E19" s="29" t="s">
        <v>24</v>
      </c>
      <c r="F19" s="34" t="s">
        <v>72</v>
      </c>
      <c r="G19" s="29" t="s">
        <v>73</v>
      </c>
      <c r="H19" s="29" t="s">
        <v>74</v>
      </c>
    </row>
    <row r="20" spans="5:8" x14ac:dyDescent="0.2">
      <c r="E20" s="31" t="s">
        <v>76</v>
      </c>
      <c r="F20" s="31" t="s">
        <v>95</v>
      </c>
      <c r="G20" s="31" t="s">
        <v>96</v>
      </c>
      <c r="H20" s="31" t="s">
        <v>97</v>
      </c>
    </row>
    <row r="21" spans="5:8" x14ac:dyDescent="0.2">
      <c r="E21" s="31" t="s">
        <v>80</v>
      </c>
      <c r="F21" s="31" t="s">
        <v>98</v>
      </c>
      <c r="G21" s="31" t="s">
        <v>99</v>
      </c>
      <c r="H21" s="31" t="s">
        <v>100</v>
      </c>
    </row>
    <row r="22" spans="5:8" x14ac:dyDescent="0.2">
      <c r="E22" s="31" t="s">
        <v>84</v>
      </c>
      <c r="F22" s="31" t="s">
        <v>101</v>
      </c>
      <c r="G22" s="31" t="s">
        <v>102</v>
      </c>
      <c r="H22" s="31" t="s">
        <v>103</v>
      </c>
    </row>
    <row r="23" spans="5:8" x14ac:dyDescent="0.2">
      <c r="E23" s="31" t="s">
        <v>88</v>
      </c>
      <c r="F23" s="31" t="s">
        <v>104</v>
      </c>
      <c r="G23" s="31" t="s">
        <v>105</v>
      </c>
      <c r="H23" s="31" t="s">
        <v>106</v>
      </c>
    </row>
    <row r="24" spans="5:8" x14ac:dyDescent="0.2">
      <c r="E24" s="31" t="s">
        <v>68</v>
      </c>
      <c r="F24" s="31" t="s">
        <v>107</v>
      </c>
      <c r="G24" s="31" t="s">
        <v>108</v>
      </c>
      <c r="H24" s="31" t="s">
        <v>109</v>
      </c>
    </row>
    <row r="27" spans="5:8" x14ac:dyDescent="0.2">
      <c r="F27" s="36" t="s">
        <v>126</v>
      </c>
    </row>
    <row r="28" spans="5:8" ht="46" x14ac:dyDescent="0.2">
      <c r="E28" s="29" t="s">
        <v>24</v>
      </c>
      <c r="F28" s="34" t="s">
        <v>72</v>
      </c>
      <c r="G28" s="29" t="s">
        <v>73</v>
      </c>
      <c r="H28" s="29" t="s">
        <v>74</v>
      </c>
    </row>
    <row r="29" spans="5:8" x14ac:dyDescent="0.2">
      <c r="E29" s="31" t="s">
        <v>76</v>
      </c>
      <c r="F29" s="31" t="s">
        <v>111</v>
      </c>
      <c r="G29" s="31" t="s">
        <v>112</v>
      </c>
      <c r="H29" s="31" t="s">
        <v>113</v>
      </c>
    </row>
    <row r="30" spans="5:8" x14ac:dyDescent="0.2">
      <c r="E30" s="31" t="s">
        <v>80</v>
      </c>
      <c r="F30" s="31" t="s">
        <v>114</v>
      </c>
      <c r="G30" s="31" t="s">
        <v>115</v>
      </c>
      <c r="H30" s="31" t="s">
        <v>116</v>
      </c>
    </row>
    <row r="31" spans="5:8" x14ac:dyDescent="0.2">
      <c r="E31" s="31" t="s">
        <v>84</v>
      </c>
      <c r="F31" s="31" t="s">
        <v>117</v>
      </c>
      <c r="G31" s="31" t="s">
        <v>118</v>
      </c>
      <c r="H31" s="31" t="s">
        <v>119</v>
      </c>
    </row>
    <row r="32" spans="5:8" x14ac:dyDescent="0.2">
      <c r="E32" s="31" t="s">
        <v>88</v>
      </c>
      <c r="F32" s="31" t="s">
        <v>120</v>
      </c>
      <c r="G32" s="31" t="s">
        <v>121</v>
      </c>
      <c r="H32" s="31" t="s">
        <v>122</v>
      </c>
    </row>
  </sheetData>
  <mergeCells count="4">
    <mergeCell ref="H9:H10"/>
    <mergeCell ref="E9:E10"/>
    <mergeCell ref="F9:F10"/>
    <mergeCell ref="G9:G10"/>
  </mergeCells>
  <conditionalFormatting sqref="F11:H15">
    <cfRule type="colorScale" priority="1">
      <colorScale>
        <cfvo type="min"/>
        <cfvo type="percentile" val="0"/>
        <cfvo type="max"/>
        <color rgb="FFC00000"/>
        <color theme="2" tint="-0.249977111117893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Columns</vt:lpstr>
      <vt:lpstr>Success</vt:lpstr>
      <vt:lpstr>FreqRoute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Macsen Higgins</dc:creator>
  <cp:lastModifiedBy>Macsen Higgins</cp:lastModifiedBy>
  <dcterms:created xsi:type="dcterms:W3CDTF">2026-04-09T15:00:48Z</dcterms:created>
  <dcterms:modified xsi:type="dcterms:W3CDTF">2026-04-13T17:23:52Z</dcterms:modified>
</cp:coreProperties>
</file>